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media_tier" sheetId="2" r:id="rId5"/>
    <sheet state="visible" name="creator_rate" sheetId="3" r:id="rId6"/>
    <sheet state="visible" name="cpe" sheetId="4" r:id="rId7"/>
  </sheets>
  <definedNames>
    <definedName name="creator_rate">creator_rate!$A$1:$D$41</definedName>
    <definedName name="cpe">cpe!$A$1:$E$10</definedName>
    <definedName name="rate_card">creator_rate!$A$1:$D$13</definedName>
    <definedName name="media_tier">media_tier!$A$1:$E$7</definedName>
  </definedNames>
  <calcPr/>
</workbook>
</file>

<file path=xl/sharedStrings.xml><?xml version="1.0" encoding="utf-8"?>
<sst xmlns="http://schemas.openxmlformats.org/spreadsheetml/2006/main" count="266" uniqueCount="61">
  <si>
    <t>Must fill-in</t>
  </si>
  <si>
    <t>Automatic formula</t>
  </si>
  <si>
    <t>CAMPAIGN NAME</t>
  </si>
  <si>
    <t>RAY-BAN X JEFF SATUR</t>
  </si>
  <si>
    <t>TEV</t>
  </si>
  <si>
    <t>INV</t>
  </si>
  <si>
    <t>ROIM</t>
  </si>
  <si>
    <t>Media Echo Value</t>
  </si>
  <si>
    <t xml:space="preserve">Creator Echo Value </t>
  </si>
  <si>
    <t>Community Echo Value</t>
  </si>
  <si>
    <t>CREATOR PROFILE</t>
  </si>
  <si>
    <t>Creator Name</t>
  </si>
  <si>
    <t>Jeff Satur</t>
  </si>
  <si>
    <t>Creator Account</t>
  </si>
  <si>
    <t># Followers (thousand)</t>
  </si>
  <si>
    <t># Followers (million)</t>
  </si>
  <si>
    <t>Followers Tier</t>
  </si>
  <si>
    <t>Facebook</t>
  </si>
  <si>
    <t>Instagram</t>
  </si>
  <si>
    <t>TikTok</t>
  </si>
  <si>
    <t>X (Twitter)</t>
  </si>
  <si>
    <t>YouTube</t>
  </si>
  <si>
    <t>Total Connections</t>
  </si>
  <si>
    <t>I. MEDIA ECHO</t>
  </si>
  <si>
    <t>Mentions/Posts</t>
  </si>
  <si>
    <t>Tier</t>
  </si>
  <si>
    <t>Value in ฿</t>
  </si>
  <si>
    <t>Online Article</t>
  </si>
  <si>
    <t>Major national media</t>
  </si>
  <si>
    <t>Industry-specific</t>
  </si>
  <si>
    <t>Local/niche</t>
  </si>
  <si>
    <t>Social Media</t>
  </si>
  <si>
    <t xml:space="preserve">Total </t>
  </si>
  <si>
    <t>II. CREATOR ECHO</t>
  </si>
  <si>
    <t>Nano</t>
  </si>
  <si>
    <t>Platform</t>
  </si>
  <si>
    <t>Static/General Post</t>
  </si>
  <si>
    <t>Video Post</t>
  </si>
  <si>
    <t>Total Post</t>
  </si>
  <si>
    <t>Total</t>
  </si>
  <si>
    <t>Micro</t>
  </si>
  <si>
    <t>Mid-tier</t>
  </si>
  <si>
    <t>Macro</t>
  </si>
  <si>
    <t>Mega</t>
  </si>
  <si>
    <t>III. COMMUNITY ECHO</t>
  </si>
  <si>
    <t>Content Creation (New Posts, Videos)</t>
  </si>
  <si>
    <t>Passive Engagement (Likes, Reactions)</t>
  </si>
  <si>
    <t>Active Engagement (Comments, Replies)</t>
  </si>
  <si>
    <t>Amplification (Shares, Retweets)</t>
  </si>
  <si>
    <t>Category</t>
  </si>
  <si>
    <t>Type</t>
  </si>
  <si>
    <t>Criteria</t>
  </si>
  <si>
    <t>Tier Value (Advertising Rate) (฿)</t>
  </si>
  <si>
    <t>To be defined (e.g., Major National News)</t>
  </si>
  <si>
    <t>To be defined (e.g., Industry-Specific Media)</t>
  </si>
  <si>
    <t>To be defined (e.g., Niche Blogs, Local News)</t>
  </si>
  <si>
    <t>&gt;=100,000 Followers</t>
  </si>
  <si>
    <t>30,000-99,999 Followers</t>
  </si>
  <si>
    <t>&lt;30,000 Followers</t>
  </si>
  <si>
    <t>Rate</t>
  </si>
  <si>
    <t>Lemon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</si>
</sst>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[$฿]#,##0"/>
  </numFmts>
  <fonts count="10">
    <font>
      <sz val="10.0"/>
      <color rgb="FF000000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i/>
      <color rgb="FFFFFFFF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14.0"/>
      <color rgb="FF0B5394"/>
      <name val="Arial"/>
      <scheme val="minor"/>
    </font>
    <font>
      <b/>
      <i/>
      <color rgb="FFFFFFFF"/>
      <name val="Arial"/>
      <scheme val="minor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4" xfId="0" applyFont="1" applyNumberFormat="1"/>
    <xf borderId="0" fillId="3" fontId="4" numFmtId="4" xfId="0" applyAlignment="1" applyFill="1" applyFont="1" applyNumberFormat="1">
      <alignment readingOrder="0"/>
    </xf>
    <xf borderId="0" fillId="0" fontId="3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4" xfId="0" applyAlignment="1" applyFont="1" applyNumberFormat="1">
      <alignment horizontal="center" readingOrder="0" vertical="center"/>
    </xf>
    <xf borderId="0" fillId="4" fontId="7" numFmtId="165" xfId="0" applyAlignment="1" applyFill="1" applyFont="1" applyNumberFormat="1">
      <alignment horizontal="center" readingOrder="0" vertical="center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4" fontId="7" numFmtId="10" xfId="0" applyAlignment="1" applyFont="1" applyNumberFormat="1">
      <alignment horizontal="center" readingOrder="0" vertical="center"/>
    </xf>
    <xf borderId="0" fillId="2" fontId="7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3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0" fillId="4" fontId="1" numFmtId="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3" fontId="8" numFmtId="164" xfId="0" applyAlignment="1" applyFont="1" applyNumberFormat="1">
      <alignment readingOrder="0"/>
    </xf>
    <xf borderId="0" fillId="3" fontId="8" numFmtId="4" xfId="0" applyAlignment="1" applyFont="1" applyNumberFormat="1">
      <alignment readingOrder="0"/>
    </xf>
    <xf borderId="0" fillId="3" fontId="4" numFmtId="4" xfId="0" applyAlignment="1" applyFont="1" applyNumberFormat="1">
      <alignment horizontal="center" readingOrder="0"/>
    </xf>
    <xf borderId="0" fillId="4" fontId="1" numFmtId="3" xfId="0" applyAlignment="1" applyFont="1" applyNumberFormat="1">
      <alignment horizontal="right" readingOrder="0"/>
    </xf>
    <xf borderId="0" fillId="2" fontId="1" numFmtId="3" xfId="0" applyAlignment="1" applyFont="1" applyNumberFormat="1">
      <alignment readingOrder="0"/>
    </xf>
    <xf borderId="0" fillId="4" fontId="1" numFmtId="3" xfId="0" applyAlignment="1" applyFont="1" applyNumberFormat="1">
      <alignment horizontal="center" readingOrder="0"/>
    </xf>
    <xf borderId="0" fillId="4" fontId="1" numFmtId="165" xfId="0" applyAlignment="1" applyFont="1" applyNumberFormat="1">
      <alignment horizontal="right"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borderId="0" fillId="0" fontId="2" numFmtId="4" xfId="0" applyAlignment="1" applyFont="1" applyNumberFormat="1">
      <alignment horizontal="right"/>
    </xf>
    <xf borderId="0" fillId="0" fontId="9" numFmtId="0" xfId="0" applyFont="1"/>
    <xf borderId="0" fillId="3" fontId="8" numFmtId="3" xfId="0" applyAlignment="1" applyFont="1" applyNumberFormat="1">
      <alignment readingOrder="0"/>
    </xf>
    <xf borderId="0" fillId="3" fontId="8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2" fontId="1" numFmtId="3" xfId="0" applyAlignment="1" applyFont="1" applyNumberFormat="1">
      <alignment horizontal="right" readingOrder="0"/>
    </xf>
    <xf borderId="0" fillId="0" fontId="2" numFmtId="3" xfId="0" applyFont="1" applyNumberFormat="1"/>
    <xf borderId="0" fillId="4" fontId="1" numFmtId="3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 shrinkToFit="0" wrapText="1"/>
    </xf>
    <xf borderId="0" fillId="0" fontId="2" numFmtId="4" xfId="0" applyAlignment="1" applyFont="1" applyNumberFormat="1">
      <alignment horizontal="center" readingOrder="0" shrinkToFit="0" wrapText="1"/>
    </xf>
    <xf borderId="0" fillId="2" fontId="1" numFmtId="4" xfId="0" applyAlignment="1" applyFont="1" applyNumberFormat="1">
      <alignment readingOrder="0"/>
    </xf>
    <xf borderId="0" fillId="0" fontId="2" numFmtId="164" xfId="0" applyFont="1" applyNumberFormat="1"/>
    <xf borderId="0" fillId="2" fontId="6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3" xfId="0" applyAlignment="1" applyFont="1" applyNumberFormat="1">
      <alignment horizontal="righ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horizontal="center" readingOrder="0" shrinkToFit="0" wrapText="1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 shrinkToFit="0" wrapText="1"/>
    </xf>
    <xf borderId="0" fillId="0" fontId="2" numFmtId="3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1076325" cy="1076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9.5"/>
    <col customWidth="1" min="2" max="2" width="5.13"/>
    <col customWidth="1" min="3" max="3" width="20.88"/>
    <col customWidth="1" min="4" max="4" width="5.13"/>
    <col customWidth="1" min="5" max="5" width="20.88"/>
    <col customWidth="1" min="6" max="6" width="5.5"/>
    <col customWidth="1" min="7" max="7" width="20.88"/>
    <col customWidth="1" min="8" max="8" width="5.5"/>
    <col customWidth="1" min="9" max="9" width="20.88"/>
    <col customWidth="1" min="10" max="10" width="5.5"/>
    <col customWidth="1" min="11" max="11" width="20.88"/>
  </cols>
  <sheetData>
    <row r="1">
      <c r="A1" s="1" t="s">
        <v>0</v>
      </c>
      <c r="B1" s="2"/>
      <c r="C1" s="3"/>
      <c r="E1" s="4"/>
    </row>
    <row r="2">
      <c r="A2" s="5" t="s">
        <v>1</v>
      </c>
      <c r="B2" s="2"/>
      <c r="C2" s="3"/>
      <c r="E2" s="4"/>
    </row>
    <row r="3">
      <c r="A3" s="6"/>
      <c r="B3" s="2"/>
      <c r="C3" s="3"/>
      <c r="E3" s="4"/>
    </row>
    <row r="4">
      <c r="A4" s="6" t="s">
        <v>2</v>
      </c>
      <c r="B4" s="2"/>
      <c r="C4" s="3" t="s">
        <v>3</v>
      </c>
      <c r="E4" s="4"/>
    </row>
    <row r="5" ht="18.0" customHeight="1">
      <c r="A5" s="7" t="s">
        <v>4</v>
      </c>
      <c r="B5" s="8"/>
      <c r="C5" s="7" t="s">
        <v>5</v>
      </c>
      <c r="D5" s="9"/>
      <c r="E5" s="10" t="s">
        <v>6</v>
      </c>
      <c r="G5" s="7" t="s">
        <v>7</v>
      </c>
      <c r="H5" s="2"/>
      <c r="I5" s="7" t="s">
        <v>8</v>
      </c>
      <c r="K5" s="7" t="s">
        <v>9</v>
      </c>
    </row>
    <row r="6" ht="41.25" customHeight="1">
      <c r="A6" s="11">
        <f>sum(G6,I6,K6)</f>
        <v>31076575</v>
      </c>
      <c r="B6" s="12"/>
      <c r="C6" s="11">
        <v>1.0E8</v>
      </c>
      <c r="D6" s="13"/>
      <c r="E6" s="14">
        <f>A6/C6</f>
        <v>0.31076575</v>
      </c>
      <c r="G6" s="15">
        <f>sum(G29:G35)</f>
        <v>14610000</v>
      </c>
      <c r="H6" s="12"/>
      <c r="I6" s="15">
        <f>sum(I61,I75,I89,I103,I117)</f>
        <v>16380800</v>
      </c>
      <c r="J6" s="13"/>
      <c r="K6" s="15">
        <f>sum(K121:K129)</f>
        <v>85775</v>
      </c>
    </row>
    <row r="7" ht="8.25" customHeight="1">
      <c r="A7" s="7"/>
      <c r="B7" s="2"/>
      <c r="C7" s="2"/>
      <c r="E7" s="4"/>
    </row>
    <row r="8" ht="84.75" customHeight="1">
      <c r="A8" s="6" t="s">
        <v>10</v>
      </c>
      <c r="B8" s="2"/>
      <c r="C8" s="2"/>
      <c r="E8" s="4"/>
    </row>
    <row r="9">
      <c r="A9" s="16"/>
      <c r="B9" s="2"/>
      <c r="C9" s="2"/>
      <c r="E9" s="4"/>
    </row>
    <row r="10">
      <c r="A10" s="16" t="s">
        <v>11</v>
      </c>
      <c r="B10" s="17"/>
      <c r="C10" s="18" t="s">
        <v>12</v>
      </c>
      <c r="E10" s="4"/>
    </row>
    <row r="11">
      <c r="A11" s="16" t="s">
        <v>13</v>
      </c>
      <c r="B11" s="19"/>
      <c r="C11" s="20" t="s">
        <v>14</v>
      </c>
      <c r="D11" s="20"/>
      <c r="E11" s="21" t="s">
        <v>15</v>
      </c>
      <c r="F11" s="22"/>
      <c r="G11" s="21" t="s">
        <v>16</v>
      </c>
    </row>
    <row r="12">
      <c r="A12" s="19" t="s">
        <v>17</v>
      </c>
      <c r="B12" s="23"/>
      <c r="C12" s="1">
        <v>181.0</v>
      </c>
      <c r="E12" s="24">
        <f>C12/1000</f>
        <v>0.181</v>
      </c>
      <c r="G12" s="25" t="str">
        <f>IF(C12*1000&gt;=1000000,"Mega",
 IF(C12*1000&gt;=500000,"Macro",
 IF(C12*1000&gt;=100000,"Mid-tier",
 IF(C12*1000&gt;=10000,"Micro",
 "Nano"))))</f>
        <v>Mid-tier</v>
      </c>
    </row>
    <row r="13">
      <c r="A13" s="19"/>
      <c r="B13" s="2"/>
      <c r="C13" s="26"/>
      <c r="E13" s="27"/>
      <c r="G13" s="26"/>
    </row>
    <row r="14">
      <c r="A14" s="19" t="s">
        <v>18</v>
      </c>
      <c r="B14" s="2"/>
      <c r="C14" s="1">
        <v>5600.0</v>
      </c>
      <c r="E14" s="24">
        <f>C14/1000</f>
        <v>5.6</v>
      </c>
      <c r="G14" s="25" t="str">
        <f>IF(C14*1000&gt;=1000000,"Mega",
 IF(C14*1000&gt;=500000,"Macro",
 IF(C14*1000&gt;=100000,"Mid-tier",
 IF(C14*1000&gt;=10000,"Micro",
 "Nano"))))</f>
        <v>Mega</v>
      </c>
    </row>
    <row r="15">
      <c r="A15" s="19"/>
      <c r="B15" s="2"/>
      <c r="C15" s="26"/>
      <c r="E15" s="27"/>
      <c r="G15" s="26"/>
    </row>
    <row r="16">
      <c r="A16" s="19" t="s">
        <v>19</v>
      </c>
      <c r="B16" s="2"/>
      <c r="C16" s="1">
        <v>3200.0</v>
      </c>
      <c r="E16" s="24">
        <f>C16/1000</f>
        <v>3.2</v>
      </c>
      <c r="G16" s="25" t="str">
        <f>IF(C16*1000&gt;=1000000,"Mega",
 IF(C16*1000&gt;=500000,"Macro",
 IF(C16*1000&gt;=100000,"Mid-tier",
 IF(C16*1000&gt;=10000,"Micro",
 "Nano"))))</f>
        <v>Mega</v>
      </c>
    </row>
    <row r="17">
      <c r="A17" s="19"/>
      <c r="B17" s="2"/>
      <c r="C17" s="26"/>
      <c r="E17" s="27"/>
      <c r="G17" s="26"/>
    </row>
    <row r="18">
      <c r="A18" s="19" t="s">
        <v>20</v>
      </c>
      <c r="B18" s="2"/>
      <c r="C18" s="1">
        <v>1200.0</v>
      </c>
      <c r="E18" s="24">
        <f>C18/1000</f>
        <v>1.2</v>
      </c>
      <c r="G18" s="25" t="str">
        <f>IF(C18*1000&gt;=1000000,"Mega",
 IF(C18*1000&gt;=500000,"Macro",
 IF(C18*1000&gt;=100000,"Mid-tier",
 IF(C18*1000&gt;=10000,"Micro",
 "Nano"))))</f>
        <v>Mega</v>
      </c>
    </row>
    <row r="19">
      <c r="A19" s="19"/>
      <c r="B19" s="2"/>
      <c r="C19" s="26"/>
      <c r="E19" s="27"/>
      <c r="G19" s="26"/>
    </row>
    <row r="20">
      <c r="A20" s="19" t="s">
        <v>21</v>
      </c>
      <c r="B20" s="2"/>
      <c r="C20" s="1">
        <v>2000.0</v>
      </c>
      <c r="E20" s="24">
        <f>C20/1000</f>
        <v>2</v>
      </c>
      <c r="G20" s="25" t="str">
        <f>IF(C20*1000&gt;=1000000,"Mega",
 IF(C20*1000&gt;=500000,"Macro",
 IF(C20*1000&gt;=100000,"Mid-tier",
 IF(C20*1000&gt;=10000,"Micro",
 "Nano"))))</f>
        <v>Mega</v>
      </c>
    </row>
    <row r="21">
      <c r="A21" s="8"/>
      <c r="B21" s="2"/>
      <c r="C21" s="2"/>
      <c r="E21" s="27"/>
      <c r="G21" s="2"/>
    </row>
    <row r="22">
      <c r="A22" s="16" t="s">
        <v>22</v>
      </c>
      <c r="B22" s="2"/>
      <c r="C22" s="28">
        <f>SUM(C10:C20)</f>
        <v>12181</v>
      </c>
      <c r="E22" s="29">
        <f>SUM(E10:E20)</f>
        <v>12.181</v>
      </c>
      <c r="G22" s="30" t="str">
        <f>IF(C22*1000&gt;=1000000,"Mega",
 IF(C22*1000&gt;=500000,"Macro",
 IF(C22*1000&gt;=100000,"Mid-tier",
 IF(C22*1000&gt;=10000,"Micro",
 "Nano"))))</f>
        <v>Mega</v>
      </c>
    </row>
    <row r="23">
      <c r="A23" s="8"/>
      <c r="B23" s="2"/>
      <c r="C23" s="2"/>
      <c r="E23" s="4"/>
    </row>
    <row r="24">
      <c r="A24" s="8"/>
      <c r="B24" s="2"/>
      <c r="C24" s="2"/>
      <c r="E24" s="4"/>
    </row>
    <row r="25">
      <c r="A25" s="3" t="s">
        <v>23</v>
      </c>
      <c r="B25" s="2"/>
      <c r="E25" s="4"/>
    </row>
    <row r="26" ht="21.75" customHeight="1">
      <c r="C26" s="20" t="s">
        <v>24</v>
      </c>
      <c r="D26" s="22"/>
      <c r="E26" s="21" t="s">
        <v>25</v>
      </c>
      <c r="G26" s="21" t="s">
        <v>26</v>
      </c>
    </row>
    <row r="27">
      <c r="A27" s="8" t="s">
        <v>27</v>
      </c>
      <c r="B27" s="23"/>
      <c r="C27" s="31">
        <f>sum(C29:C33)</f>
        <v>331</v>
      </c>
      <c r="E27" s="4"/>
    </row>
    <row r="28">
      <c r="A28" s="2"/>
      <c r="E28" s="4"/>
    </row>
    <row r="29">
      <c r="A29" s="19" t="s">
        <v>28</v>
      </c>
      <c r="C29" s="32">
        <v>181.0</v>
      </c>
      <c r="E29" s="33">
        <f>IFERROR(VLOOKUP(A29, media_tier!$B$1:$C$7, 2, FALSE), "Check the data again")</f>
        <v>1</v>
      </c>
      <c r="G29" s="34">
        <f>IFERROR(__xludf.DUMMYFUNCTION("IFERROR(
 IF(A29=""# Online Articles"",
  C29 * VLOOKUP(E29, FILTER(media_tier!$C$2:$E$10, media_tier!$A$2:$A$10=""Online Article""), 3, FALSE),
  C29 * VLOOKUP(E29, FILTER(media_tier!$C$2:$E$10, media_tier!$A$2:$A$10=""Social Media""), 3, FALSE)
 ),
""Ch"&amp;"eck the data again"")"),1.086E7)</f>
        <v>10860000</v>
      </c>
    </row>
    <row r="30">
      <c r="A30" s="19"/>
      <c r="C30" s="35"/>
      <c r="E30" s="27"/>
      <c r="G30" s="36"/>
    </row>
    <row r="31">
      <c r="A31" s="19" t="s">
        <v>29</v>
      </c>
      <c r="C31" s="32">
        <v>100.0</v>
      </c>
      <c r="E31" s="33">
        <f>IFERROR(VLOOKUP(A31, media_tier!$B$1:$C$7, 2, FALSE), "Check the data again")</f>
        <v>2</v>
      </c>
      <c r="G31" s="34">
        <f>IFERROR(__xludf.DUMMYFUNCTION("IFERROR(
 IF(A31=""# Online Articles"",
  C31 * VLOOKUP(E31, FILTER(media_tier!$C$2:$E$10, media_tier!$A$2:$A$10=""Online Article""), 3, FALSE),
  C31 * VLOOKUP(E31, FILTER(media_tier!$C$2:$E$10, media_tier!$A$2:$A$10=""Social Media""), 3, FALSE)
 ),
""Ch"&amp;"eck the data again"")"),3000000.0)</f>
        <v>3000000</v>
      </c>
    </row>
    <row r="32">
      <c r="A32" s="19"/>
      <c r="C32" s="35"/>
      <c r="E32" s="27"/>
      <c r="G32" s="36"/>
    </row>
    <row r="33">
      <c r="A33" s="19" t="s">
        <v>30</v>
      </c>
      <c r="C33" s="32">
        <v>50.0</v>
      </c>
      <c r="E33" s="33">
        <f>IFERROR(VLOOKUP(A33, media_tier!$B$1:$C$7, 2, FALSE), "Check the data again")</f>
        <v>3</v>
      </c>
      <c r="G33" s="34">
        <f>IFERROR(__xludf.DUMMYFUNCTION("IFERROR(
 IF(A33=""# Online Articles"",
  C33 * VLOOKUP(E33, FILTER(media_tier!$C$2:$E$10, media_tier!$A$2:$A$10=""Online Article""), 3, FALSE),
  C33 * VLOOKUP(E33, FILTER(media_tier!$C$2:$E$10, media_tier!$A$2:$A$10=""Social Media""), 3, FALSE)
 ),
""Ch"&amp;"eck the data again"")"),750000.0)</f>
        <v>750000</v>
      </c>
    </row>
    <row r="34">
      <c r="E34" s="4"/>
      <c r="G34" s="37"/>
    </row>
    <row r="35">
      <c r="A35" s="8" t="s">
        <v>31</v>
      </c>
      <c r="B35" s="23"/>
      <c r="C35" s="31">
        <f>sum(C37:C41)</f>
        <v>900</v>
      </c>
      <c r="E35" s="4"/>
    </row>
    <row r="36">
      <c r="E36" s="4"/>
      <c r="G36" s="4"/>
    </row>
    <row r="37">
      <c r="A37" s="19">
        <v>1.0</v>
      </c>
      <c r="C37" s="32">
        <v>200.0</v>
      </c>
      <c r="E37" s="33">
        <f>IFERROR(VLOOKUP(A37, media_tier!$B$1:$C$7, 2, FALSE), "Check the data again")</f>
        <v>1</v>
      </c>
      <c r="G37" s="34">
        <f>IFERROR(__xludf.DUMMYFUNCTION("IFERROR(
 IF(A37=""# Online Articles"",
  C37 * VLOOKUP(E37, FILTER(media_tier!$C$2:$E$10, media_tier!$A$2:$A$10=""Online Article""), 3, FALSE),
  C37 * VLOOKUP(E37, FILTER(media_tier!$C$2:$E$10, media_tier!$A$2:$A$10=""Social Media""), 3, FALSE)
 ),
""Ch"&amp;"eck the data again"")"),1.2E7)</f>
        <v>12000000</v>
      </c>
    </row>
    <row r="38">
      <c r="A38" s="19"/>
      <c r="C38" s="35"/>
      <c r="E38" s="27"/>
      <c r="G38" s="36"/>
    </row>
    <row r="39">
      <c r="A39" s="19">
        <v>2.0</v>
      </c>
      <c r="C39" s="32">
        <v>300.0</v>
      </c>
      <c r="E39" s="33">
        <f>IFERROR(VLOOKUP(A39, media_tier!$B$1:$C$7, 2, FALSE), "Check the data again")</f>
        <v>2</v>
      </c>
      <c r="G39" s="34">
        <f>IFERROR(__xludf.DUMMYFUNCTION("IFERROR(
 IF(A39=""# Online Articles"",
  C39 * VLOOKUP(E39, FILTER(media_tier!$C$2:$E$10, media_tier!$A$2:$A$10=""Online Article""), 3, FALSE),
  C39 * VLOOKUP(E39, FILTER(media_tier!$C$2:$E$10, media_tier!$A$2:$A$10=""Social Media""), 3, FALSE)
 ),
""Ch"&amp;"eck the data again"")"),9000000.0)</f>
        <v>9000000</v>
      </c>
    </row>
    <row r="40">
      <c r="A40" s="19"/>
      <c r="C40" s="35"/>
      <c r="E40" s="27"/>
      <c r="G40" s="36"/>
    </row>
    <row r="41">
      <c r="A41" s="19">
        <v>3.0</v>
      </c>
      <c r="C41" s="32">
        <v>400.0</v>
      </c>
      <c r="E41" s="33">
        <f>IFERROR(VLOOKUP(A41, media_tier!$B$1:$C$7, 2, FALSE), "Check the data again")</f>
        <v>3</v>
      </c>
      <c r="G41" s="34">
        <f>IFERROR(__xludf.DUMMYFUNCTION("IFERROR(
 IF(A41=""# Online Articles"",
  C41 * VLOOKUP(E41, FILTER(media_tier!$C$2:$E$10, media_tier!$A$2:$A$10=""Online Article""), 3, FALSE),
  C41 * VLOOKUP(E41, FILTER(media_tier!$C$2:$E$10, media_tier!$A$2:$A$10=""Social Media""), 3, FALSE)
 ),
""Ch"&amp;"eck the data again"")"),6000000.0)</f>
        <v>6000000</v>
      </c>
    </row>
    <row r="42">
      <c r="E42" s="4"/>
      <c r="G42" s="4"/>
    </row>
    <row r="43">
      <c r="E43" s="4"/>
      <c r="G43" s="4"/>
    </row>
    <row r="44">
      <c r="E44" s="4"/>
      <c r="G44" s="4"/>
      <c r="I44" s="22"/>
    </row>
    <row r="45">
      <c r="A45" s="8" t="s">
        <v>32</v>
      </c>
      <c r="B45" s="38"/>
      <c r="C45" s="39">
        <f>C27+C35</f>
        <v>1231</v>
      </c>
      <c r="E45" s="4"/>
      <c r="G45" s="40">
        <f>sum(G29:G41)</f>
        <v>41610000</v>
      </c>
    </row>
    <row r="46">
      <c r="E46" s="4"/>
    </row>
    <row r="47">
      <c r="E47" s="4"/>
    </row>
    <row r="48">
      <c r="A48" s="3" t="s">
        <v>33</v>
      </c>
      <c r="E48" s="4"/>
    </row>
    <row r="49">
      <c r="A49" s="41" t="s">
        <v>25</v>
      </c>
      <c r="C49" s="42" t="s">
        <v>34</v>
      </c>
      <c r="D49" s="22"/>
      <c r="E49" s="21"/>
      <c r="G49" s="20"/>
      <c r="I49" s="21"/>
    </row>
    <row r="50">
      <c r="A50" s="20" t="s">
        <v>35</v>
      </c>
      <c r="C50" s="20" t="s">
        <v>36</v>
      </c>
      <c r="D50" s="22"/>
      <c r="E50" s="21" t="s">
        <v>37</v>
      </c>
      <c r="G50" s="20" t="s">
        <v>38</v>
      </c>
      <c r="I50" s="21" t="s">
        <v>26</v>
      </c>
    </row>
    <row r="51">
      <c r="A51" s="19" t="s">
        <v>17</v>
      </c>
      <c r="B51" s="23"/>
      <c r="C51" s="32">
        <v>1.0</v>
      </c>
      <c r="D51" s="43"/>
      <c r="E51" s="32">
        <v>6.0</v>
      </c>
      <c r="F51" s="43"/>
      <c r="G51" s="44">
        <f>C51+E51</f>
        <v>7</v>
      </c>
      <c r="I51" s="34">
        <f t="array" ref="I51">IFNA(
  C51 * INDEX(
          creator_rate!$D$2:$D$99,
          MATCH(
            A51&amp;"|"&amp;$C$106&amp;"|"&amp;$C$49,
            creator_rate!$A$2:$A$99&amp;"|"&amp;
            creator_rate!$B$2:$B$99&amp;"|"&amp;
            creator_rate!$C$2:$C$99,
            0
          )
       ),
  0
)
+
IFNA(
  E51 * INDEX(
          creator_rate!$D$2:$D$99,
          MATCH(
            A51&amp;"|"&amp;$E$106&amp;"|"&amp;$C$49,
            creator_rate!$A$2:$A$99&amp;"|"&amp;
            creator_rate!$B$2:$B$99&amp;"|"&amp;
            creator_rate!$C$2:$C$99,
            0
          )
       ),
  0
)
</f>
        <v>65200</v>
      </c>
    </row>
    <row r="52">
      <c r="A52" s="19"/>
      <c r="B52" s="2"/>
      <c r="C52" s="35"/>
      <c r="D52" s="43"/>
      <c r="E52" s="27"/>
      <c r="F52" s="43"/>
      <c r="G52" s="35"/>
      <c r="I52" s="13"/>
    </row>
    <row r="53">
      <c r="A53" s="19" t="s">
        <v>18</v>
      </c>
      <c r="B53" s="2"/>
      <c r="C53" s="32">
        <v>3.0</v>
      </c>
      <c r="D53" s="43"/>
      <c r="E53" s="32">
        <v>2.0</v>
      </c>
      <c r="F53" s="43"/>
      <c r="G53" s="44">
        <f>C53+E53</f>
        <v>5</v>
      </c>
      <c r="I53" s="34">
        <f t="array" ref="I53">IFNA(
  C53 * INDEX(
          creator_rate!$D$2:$D$99,
          MATCH(
            A53&amp;"|"&amp;$C$106&amp;"|"&amp;$C$49,
            creator_rate!$A$2:$A$99&amp;"|"&amp;
            creator_rate!$B$2:$B$99&amp;"|"&amp;
            creator_rate!$C$2:$C$99,
            0
          )
       ),
  0
)
+
IFNA(
  E53 * INDEX(
          creator_rate!$D$2:$D$99,
          MATCH(
            A53&amp;"|"&amp;$E$106&amp;"|"&amp;$C$49,
            creator_rate!$A$2:$A$99&amp;"|"&amp;
            creator_rate!$B$2:$B$99&amp;"|"&amp;
            creator_rate!$C$2:$C$99,
            0
          )
       ),
  0
)
</f>
        <v>42000</v>
      </c>
    </row>
    <row r="54">
      <c r="A54" s="19"/>
      <c r="B54" s="2"/>
      <c r="C54" s="35"/>
      <c r="D54" s="43"/>
      <c r="E54" s="27"/>
      <c r="F54" s="43"/>
      <c r="G54" s="35"/>
      <c r="I54" s="45"/>
    </row>
    <row r="55">
      <c r="A55" s="19" t="s">
        <v>19</v>
      </c>
      <c r="B55" s="2"/>
      <c r="C55" s="32">
        <v>0.0</v>
      </c>
      <c r="D55" s="43"/>
      <c r="E55" s="32">
        <v>5.0</v>
      </c>
      <c r="F55" s="43"/>
      <c r="G55" s="44">
        <f>C55+E55</f>
        <v>5</v>
      </c>
      <c r="I55" s="34">
        <f t="array" ref="I55">IFNA(
  C55 * INDEX(
          creator_rate!$D$2:$D$99,
          MATCH(
            A55&amp;"|"&amp;$C$106&amp;"|"&amp;$C$49,
            creator_rate!$A$2:$A$99&amp;"|"&amp;
            creator_rate!$B$2:$B$99&amp;"|"&amp;
            creator_rate!$C$2:$C$99,
            0
          )
       ),
  0
)
+
IFNA(
  E55 * INDEX(
          creator_rate!$D$2:$D$99,
          MATCH(
            A55&amp;"|"&amp;$E$106&amp;"|"&amp;$C$49,
            creator_rate!$A$2:$A$99&amp;"|"&amp;
            creator_rate!$B$2:$B$99&amp;"|"&amp;
            creator_rate!$C$2:$C$99,
            0
          )
       ),
  0
)
</f>
        <v>48000</v>
      </c>
    </row>
    <row r="56">
      <c r="A56" s="19"/>
      <c r="B56" s="2"/>
      <c r="C56" s="35"/>
      <c r="D56" s="43"/>
      <c r="E56" s="27"/>
      <c r="F56" s="43"/>
      <c r="G56" s="35"/>
      <c r="I56" s="45"/>
    </row>
    <row r="57">
      <c r="A57" s="19" t="s">
        <v>20</v>
      </c>
      <c r="B57" s="2"/>
      <c r="C57" s="32">
        <v>10.0</v>
      </c>
      <c r="D57" s="43"/>
      <c r="E57" s="32">
        <v>0.0</v>
      </c>
      <c r="F57" s="43"/>
      <c r="G57" s="44">
        <f>C57+E57</f>
        <v>10</v>
      </c>
      <c r="I57" s="34">
        <f t="array" ref="I57">IFNA(
  C57 * INDEX(
          creator_rate!$D$2:$D$99,
          MATCH(
            A57&amp;"|"&amp;$C$106&amp;"|"&amp;$C$49,
            creator_rate!$A$2:$A$99&amp;"|"&amp;
            creator_rate!$B$2:$B$99&amp;"|"&amp;
            creator_rate!$C$2:$C$99,
            0
          )
       ),
  0
)
+
IFNA(
  E57 * INDEX(
          creator_rate!$D$2:$D$99,
          MATCH(
            A57&amp;"|"&amp;$E$106&amp;"|"&amp;$C$49,
            creator_rate!$A$2:$A$99&amp;"|"&amp;
            creator_rate!$B$2:$B$99&amp;"|"&amp;
            creator_rate!$C$2:$C$99,
            0
          )
       ),
  0
)
</f>
        <v>50000</v>
      </c>
    </row>
    <row r="58">
      <c r="A58" s="19"/>
      <c r="B58" s="2"/>
      <c r="C58" s="35"/>
      <c r="D58" s="43"/>
      <c r="E58" s="27"/>
      <c r="F58" s="43"/>
      <c r="G58" s="35"/>
      <c r="I58" s="46"/>
    </row>
    <row r="59">
      <c r="A59" s="19" t="s">
        <v>21</v>
      </c>
      <c r="B59" s="2"/>
      <c r="C59" s="32">
        <v>0.0</v>
      </c>
      <c r="D59" s="43"/>
      <c r="E59" s="32">
        <v>1.0</v>
      </c>
      <c r="F59" s="43"/>
      <c r="G59" s="44">
        <f>C59+E59</f>
        <v>1</v>
      </c>
      <c r="I59" s="34">
        <f t="array" ref="I59">IFNA(
  C59 * INDEX(
          creator_rate!$D$2:$D$99,
          MATCH(
            A59&amp;"|"&amp;$C$106&amp;"|"&amp;$C$49,
            creator_rate!$A$2:$A$99&amp;"|"&amp;
            creator_rate!$B$2:$B$99&amp;"|"&amp;
            creator_rate!$C$2:$C$99,
            0
          )
       ),
  0
)
+
IFNA(
  E59 * INDEX(
          creator_rate!$D$2:$D$99,
          MATCH(
            A59&amp;"|"&amp;$E$106&amp;"|"&amp;$C$49,
            creator_rate!$A$2:$A$99&amp;"|"&amp;
            creator_rate!$B$2:$B$99&amp;"|"&amp;
            creator_rate!$C$2:$C$99,
            0
          )
       ),
  0
)
</f>
        <v>9600</v>
      </c>
    </row>
    <row r="60">
      <c r="E60" s="4"/>
      <c r="G60" s="2"/>
      <c r="I60" s="13"/>
    </row>
    <row r="61">
      <c r="A61" s="16" t="s">
        <v>39</v>
      </c>
      <c r="C61" s="28">
        <f>sum(C51:C59)</f>
        <v>14</v>
      </c>
      <c r="E61" s="29">
        <f>sum(E51:E59)</f>
        <v>14</v>
      </c>
      <c r="G61" s="28">
        <f>sum(G51:G59)</f>
        <v>28</v>
      </c>
      <c r="I61" s="40">
        <f>sum(I51:I59)</f>
        <v>214800</v>
      </c>
    </row>
    <row r="62">
      <c r="A62" s="20"/>
      <c r="C62" s="20"/>
      <c r="D62" s="22"/>
      <c r="E62" s="21"/>
      <c r="G62" s="20"/>
      <c r="I62" s="21"/>
    </row>
    <row r="63">
      <c r="A63" s="41" t="s">
        <v>25</v>
      </c>
      <c r="C63" s="47" t="s">
        <v>40</v>
      </c>
      <c r="D63" s="22"/>
      <c r="E63" s="21"/>
      <c r="G63" s="20"/>
      <c r="I63" s="21"/>
    </row>
    <row r="64">
      <c r="A64" s="20" t="s">
        <v>35</v>
      </c>
      <c r="C64" s="20" t="s">
        <v>36</v>
      </c>
      <c r="D64" s="22"/>
      <c r="E64" s="21" t="s">
        <v>37</v>
      </c>
      <c r="G64" s="20" t="s">
        <v>38</v>
      </c>
      <c r="I64" s="21" t="s">
        <v>26</v>
      </c>
    </row>
    <row r="65">
      <c r="A65" s="19" t="s">
        <v>17</v>
      </c>
      <c r="B65" s="23"/>
      <c r="C65" s="32">
        <v>1.0</v>
      </c>
      <c r="D65" s="43"/>
      <c r="E65" s="32">
        <v>6.0</v>
      </c>
      <c r="F65" s="43"/>
      <c r="G65" s="44">
        <f>C65+E65</f>
        <v>7</v>
      </c>
      <c r="I65" s="34">
        <f t="array" ref="I65">IFNA(
  C65 * INDEX(
          creator_rate!$D$2:$D$99,
          MATCH(
            A65&amp;"|"&amp;$C$106&amp;"|"&amp;$C$63,
            creator_rate!$A$2:$A$99&amp;"|"&amp;
            creator_rate!$B$2:$B$99&amp;"|"&amp;
            creator_rate!$C$2:$C$99,
            0
          )
       ),
  0
)
+
IFNA(
  E65 * INDEX(
          creator_rate!$D$2:$D$99,
          MATCH(
            A65&amp;"|"&amp;$E$106&amp;"|"&amp;$C$63,
            creator_rate!$A$2:$A$99&amp;"|"&amp;
            creator_rate!$B$2:$B$99&amp;"|"&amp;
            creator_rate!$C$2:$C$99,
            0
          )
       ),
  0
)
</f>
        <v>505000</v>
      </c>
    </row>
    <row r="66">
      <c r="A66" s="19"/>
      <c r="B66" s="2"/>
      <c r="C66" s="35"/>
      <c r="D66" s="43"/>
      <c r="E66" s="27"/>
      <c r="F66" s="43"/>
      <c r="G66" s="35"/>
      <c r="I66" s="13"/>
    </row>
    <row r="67">
      <c r="A67" s="19" t="s">
        <v>18</v>
      </c>
      <c r="B67" s="2"/>
      <c r="C67" s="32">
        <v>3.0</v>
      </c>
      <c r="D67" s="43"/>
      <c r="E67" s="32">
        <v>2.0</v>
      </c>
      <c r="F67" s="43"/>
      <c r="G67" s="44">
        <f>C67+E67</f>
        <v>5</v>
      </c>
      <c r="I67" s="34">
        <f t="array" ref="I67">IFNA(
  C67 * INDEX(
          creator_rate!$D$2:$D$99,
          MATCH(
            A67&amp;"|"&amp;$C$106&amp;"|"&amp;$C$63,
            creator_rate!$A$2:$A$99&amp;"|"&amp;
            creator_rate!$B$2:$B$99&amp;"|"&amp;
            creator_rate!$C$2:$C$99,
            0
          )
       ),
  0
)
+
IFNA(
  E67 * INDEX(
          creator_rate!$D$2:$D$99,
          MATCH(
            A67&amp;"|"&amp;$E$106&amp;"|"&amp;$C$63,
            creator_rate!$A$2:$A$99&amp;"|"&amp;
            creator_rate!$B$2:$B$99&amp;"|"&amp;
            creator_rate!$C$2:$C$99,
            0
          )
       ),
  0
)
</f>
        <v>299000</v>
      </c>
    </row>
    <row r="68">
      <c r="A68" s="19"/>
      <c r="B68" s="2"/>
      <c r="C68" s="35"/>
      <c r="D68" s="43"/>
      <c r="E68" s="27"/>
      <c r="F68" s="43"/>
      <c r="G68" s="35"/>
      <c r="I68" s="45"/>
    </row>
    <row r="69">
      <c r="A69" s="19" t="s">
        <v>19</v>
      </c>
      <c r="B69" s="2"/>
      <c r="C69" s="32">
        <v>0.0</v>
      </c>
      <c r="D69" s="43"/>
      <c r="E69" s="32">
        <v>5.0</v>
      </c>
      <c r="F69" s="43"/>
      <c r="G69" s="44">
        <f>C69+E69</f>
        <v>5</v>
      </c>
      <c r="I69" s="34">
        <f t="array" ref="I69">IFNA(
  C69 * INDEX(
          creator_rate!$D$2:$D$99,
          MATCH(
            A69&amp;"|"&amp;$C$106&amp;"|"&amp;$C$63,
            creator_rate!$A$2:$A$99&amp;"|"&amp;
            creator_rate!$B$2:$B$99&amp;"|"&amp;
            creator_rate!$C$2:$C$99,
            0
          )
       ),
  0
)
+
IFNA(
  E69 * INDEX(
          creator_rate!$D$2:$D$99,
          MATCH(
            A69&amp;"|"&amp;$E$106&amp;"|"&amp;$C$63,
            creator_rate!$A$2:$A$99&amp;"|"&amp;
            creator_rate!$B$2:$B$99&amp;"|"&amp;
            creator_rate!$C$2:$C$99,
            0
          )
       ),
  0
)
</f>
        <v>380000</v>
      </c>
    </row>
    <row r="70">
      <c r="A70" s="19"/>
      <c r="B70" s="2"/>
      <c r="C70" s="35"/>
      <c r="D70" s="43"/>
      <c r="E70" s="27"/>
      <c r="F70" s="43"/>
      <c r="G70" s="35"/>
      <c r="I70" s="45"/>
    </row>
    <row r="71">
      <c r="A71" s="19" t="s">
        <v>20</v>
      </c>
      <c r="B71" s="2"/>
      <c r="C71" s="32">
        <v>10.0</v>
      </c>
      <c r="D71" s="43"/>
      <c r="E71" s="32">
        <v>0.0</v>
      </c>
      <c r="F71" s="43"/>
      <c r="G71" s="44">
        <f>C71+E71</f>
        <v>10</v>
      </c>
      <c r="I71" s="34">
        <f t="array" ref="I71">IFNA(
  C71 * INDEX(
          creator_rate!$D$2:$D$99,
          MATCH(
            A71&amp;"|"&amp;$C$106&amp;"|"&amp;$C$63,
            creator_rate!$A$2:$A$99&amp;"|"&amp;
            creator_rate!$B$2:$B$99&amp;"|"&amp;
            creator_rate!$C$2:$C$99,
            0
          )
       ),
  0
)
+
IFNA(
  E71 * INDEX(
          creator_rate!$D$2:$D$99,
          MATCH(
            A71&amp;"|"&amp;$E$106&amp;"|"&amp;$C$63,
            creator_rate!$A$2:$A$99&amp;"|"&amp;
            creator_rate!$B$2:$B$99&amp;"|"&amp;
            creator_rate!$C$2:$C$99,
            0
          )
       ),
  0
)
</f>
        <v>150000</v>
      </c>
    </row>
    <row r="72">
      <c r="A72" s="19"/>
      <c r="B72" s="2"/>
      <c r="C72" s="35"/>
      <c r="D72" s="43"/>
      <c r="E72" s="27"/>
      <c r="F72" s="43"/>
      <c r="G72" s="35"/>
      <c r="I72" s="46"/>
    </row>
    <row r="73">
      <c r="A73" s="19" t="s">
        <v>21</v>
      </c>
      <c r="B73" s="2"/>
      <c r="C73" s="32">
        <v>0.0</v>
      </c>
      <c r="D73" s="43"/>
      <c r="E73" s="32">
        <v>1.0</v>
      </c>
      <c r="F73" s="43"/>
      <c r="G73" s="44">
        <f>C73+E73</f>
        <v>1</v>
      </c>
      <c r="I73" s="34">
        <f t="array" ref="I73">IFNA(
  C73 * INDEX(
          creator_rate!$D$2:$D$99,
          MATCH(
            A73&amp;"|"&amp;$C$106&amp;"|"&amp;$C$63,
            creator_rate!$A$2:$A$99&amp;"|"&amp;
            creator_rate!$B$2:$B$99&amp;"|"&amp;
            creator_rate!$C$2:$C$99,
            0
          )
       ),
  0
)
+
IFNA(
  E73 * INDEX(
          creator_rate!$D$2:$D$99,
          MATCH(
            A73&amp;"|"&amp;$E$106&amp;"|"&amp;$C$63,
            creator_rate!$A$2:$A$99&amp;"|"&amp;
            creator_rate!$B$2:$B$99&amp;"|"&amp;
            creator_rate!$C$2:$C$99,
            0
          )
       ),
  0
)
</f>
        <v>76000</v>
      </c>
    </row>
    <row r="74">
      <c r="E74" s="4"/>
      <c r="G74" s="2"/>
      <c r="I74" s="13"/>
    </row>
    <row r="75">
      <c r="A75" s="16" t="s">
        <v>39</v>
      </c>
      <c r="C75" s="28">
        <f>sum(C65:C73)</f>
        <v>14</v>
      </c>
      <c r="E75" s="29">
        <f>sum(E65:E73)</f>
        <v>14</v>
      </c>
      <c r="G75" s="28">
        <f>sum(G65:G73)</f>
        <v>28</v>
      </c>
      <c r="I75" s="40">
        <f>sum(I65:I73)</f>
        <v>1410000</v>
      </c>
    </row>
    <row r="76">
      <c r="A76" s="20"/>
      <c r="C76" s="20"/>
      <c r="D76" s="22"/>
      <c r="E76" s="21"/>
      <c r="G76" s="20"/>
      <c r="I76" s="21"/>
    </row>
    <row r="77">
      <c r="A77" s="41" t="s">
        <v>25</v>
      </c>
      <c r="C77" s="47" t="s">
        <v>41</v>
      </c>
      <c r="D77" s="22"/>
      <c r="E77" s="21"/>
      <c r="G77" s="20"/>
      <c r="I77" s="21"/>
    </row>
    <row r="78">
      <c r="A78" s="20" t="s">
        <v>35</v>
      </c>
      <c r="C78" s="20" t="s">
        <v>36</v>
      </c>
      <c r="D78" s="22"/>
      <c r="E78" s="21" t="s">
        <v>37</v>
      </c>
      <c r="G78" s="20" t="s">
        <v>38</v>
      </c>
      <c r="I78" s="21" t="s">
        <v>26</v>
      </c>
    </row>
    <row r="79">
      <c r="A79" s="19" t="s">
        <v>17</v>
      </c>
      <c r="B79" s="23"/>
      <c r="C79" s="32">
        <v>1.0</v>
      </c>
      <c r="D79" s="43"/>
      <c r="E79" s="32">
        <v>6.0</v>
      </c>
      <c r="F79" s="43"/>
      <c r="G79" s="44">
        <f>C79+E79</f>
        <v>7</v>
      </c>
      <c r="I79" s="34">
        <f t="array" ref="I79">IFNA(
  C79 * INDEX(
          creator_rate!$D$2:$D$99,
          MATCH(
            A79&amp;"|"&amp;$C$106&amp;"|"&amp;$C$77,
            creator_rate!$A$2:$A$99&amp;"|"&amp;
            creator_rate!$B$2:$B$99&amp;"|"&amp;
            creator_rate!$C$2:$C$99,
            0
          )
       ),
  0
)
+
IFNA(
  E79 * INDEX(
          creator_rate!$D$2:$D$99,
          MATCH(
            A79&amp;"|"&amp;$E$106&amp;"|"&amp;$C$77,
            creator_rate!$A$2:$A$99&amp;"|"&amp;
            creator_rate!$B$2:$B$99&amp;"|"&amp;
            creator_rate!$C$2:$C$99,
            0
          )
       ),
  0
)
</f>
        <v>1223000</v>
      </c>
    </row>
    <row r="80">
      <c r="A80" s="19"/>
      <c r="B80" s="2"/>
      <c r="C80" s="35"/>
      <c r="D80" s="43"/>
      <c r="E80" s="27"/>
      <c r="F80" s="43"/>
      <c r="G80" s="35"/>
      <c r="I80" s="13"/>
    </row>
    <row r="81">
      <c r="A81" s="19" t="s">
        <v>18</v>
      </c>
      <c r="B81" s="2"/>
      <c r="C81" s="32">
        <v>3.0</v>
      </c>
      <c r="D81" s="43"/>
      <c r="E81" s="32">
        <v>2.0</v>
      </c>
      <c r="F81" s="43"/>
      <c r="G81" s="44">
        <f>C81+E81</f>
        <v>5</v>
      </c>
      <c r="I81" s="34">
        <f t="array" ref="I81">IFNA(
  C81 * INDEX(
          creator_rate!$D$2:$D$99,
          MATCH(
            A81&amp;"|"&amp;$C$106&amp;"|"&amp;$C$77,
            creator_rate!$A$2:$A$99&amp;"|"&amp;
            creator_rate!$B$2:$B$99&amp;"|"&amp;
            creator_rate!$C$2:$C$99,
            0
          )
       ),
  0
)
+
IFNA(
  E81 * INDEX(
          creator_rate!$D$2:$D$99,
          MATCH(
            A81&amp;"|"&amp;$E$106&amp;"|"&amp;$C$77,
            creator_rate!$A$2:$A$99&amp;"|"&amp;
            creator_rate!$B$2:$B$99&amp;"|"&amp;
            creator_rate!$C$2:$C$99,
            0
          )
       ),
  0
)
</f>
        <v>661000</v>
      </c>
    </row>
    <row r="82">
      <c r="A82" s="19"/>
      <c r="B82" s="2"/>
      <c r="C82" s="35"/>
      <c r="D82" s="43"/>
      <c r="E82" s="27"/>
      <c r="F82" s="43"/>
      <c r="G82" s="35"/>
      <c r="I82" s="45"/>
    </row>
    <row r="83">
      <c r="A83" s="19" t="s">
        <v>19</v>
      </c>
      <c r="B83" s="2"/>
      <c r="C83" s="32">
        <v>0.0</v>
      </c>
      <c r="D83" s="43"/>
      <c r="E83" s="32">
        <v>5.0</v>
      </c>
      <c r="F83" s="43"/>
      <c r="G83" s="44">
        <f>C83+E83</f>
        <v>5</v>
      </c>
      <c r="I83" s="34">
        <f t="array" ref="I83">IFNA(
  C83 * INDEX(
          creator_rate!$D$2:$D$99,
          MATCH(
            A83&amp;"|"&amp;$C$106&amp;"|"&amp;$C$77,
            creator_rate!$A$2:$A$99&amp;"|"&amp;
            creator_rate!$B$2:$B$99&amp;"|"&amp;
            creator_rate!$C$2:$C$99,
            0
          )
       ),
  0
)
+
IFNA(
  E83 * INDEX(
          creator_rate!$D$2:$D$99,
          MATCH(
            A83&amp;"|"&amp;$E$106&amp;"|"&amp;$C$77,
            creator_rate!$A$2:$A$99&amp;"|"&amp;
            creator_rate!$B$2:$B$99&amp;"|"&amp;
            creator_rate!$C$2:$C$99,
            0
          )
       ),
  0
)
</f>
        <v>940000</v>
      </c>
    </row>
    <row r="84">
      <c r="A84" s="19"/>
      <c r="B84" s="2"/>
      <c r="C84" s="35"/>
      <c r="D84" s="43"/>
      <c r="E84" s="27"/>
      <c r="F84" s="43"/>
      <c r="G84" s="35"/>
      <c r="I84" s="45"/>
    </row>
    <row r="85">
      <c r="A85" s="19" t="s">
        <v>20</v>
      </c>
      <c r="B85" s="2"/>
      <c r="C85" s="32">
        <v>10.0</v>
      </c>
      <c r="D85" s="43"/>
      <c r="E85" s="32">
        <v>0.0</v>
      </c>
      <c r="F85" s="43"/>
      <c r="G85" s="44">
        <f>C85+E85</f>
        <v>10</v>
      </c>
      <c r="I85" s="34">
        <f t="array" ref="I85">IFNA(
  C85 * INDEX(
          creator_rate!$D$2:$D$99,
          MATCH(
            A85&amp;"|"&amp;$C$106&amp;"|"&amp;$C$77,
            creator_rate!$A$2:$A$99&amp;"|"&amp;
            creator_rate!$B$2:$B$99&amp;"|"&amp;
            creator_rate!$C$2:$C$99,
            0
          )
       ),
  0
)
+
IFNA(
  E85 * INDEX(
          creator_rate!$D$2:$D$99,
          MATCH(
            A85&amp;"|"&amp;$E$106&amp;"|"&amp;$C$77,
            creator_rate!$A$2:$A$99&amp;"|"&amp;
            creator_rate!$B$2:$B$99&amp;"|"&amp;
            creator_rate!$C$2:$C$99,
            0
          )
       ),
  0
)
</f>
        <v>300000</v>
      </c>
    </row>
    <row r="86">
      <c r="A86" s="19"/>
      <c r="B86" s="2"/>
      <c r="C86" s="35"/>
      <c r="D86" s="43"/>
      <c r="E86" s="27"/>
      <c r="F86" s="43"/>
      <c r="G86" s="35"/>
      <c r="I86" s="46"/>
    </row>
    <row r="87">
      <c r="A87" s="19" t="s">
        <v>21</v>
      </c>
      <c r="B87" s="2"/>
      <c r="C87" s="32">
        <v>0.0</v>
      </c>
      <c r="D87" s="43"/>
      <c r="E87" s="32">
        <v>1.0</v>
      </c>
      <c r="F87" s="43"/>
      <c r="G87" s="44">
        <f>C87+E87</f>
        <v>1</v>
      </c>
      <c r="I87" s="34">
        <f t="array" ref="I87">IFNA(
  C87 * INDEX(
          creator_rate!$D$2:$D$99,
          MATCH(
            A87&amp;"|"&amp;$C$106&amp;"|"&amp;$C$77,
            creator_rate!$A$2:$A$99&amp;"|"&amp;
            creator_rate!$B$2:$B$99&amp;"|"&amp;
            creator_rate!$C$2:$C$99,
            0
          )
       ),
  0
)
+
IFNA(
  E87 * INDEX(
          creator_rate!$D$2:$D$99,
          MATCH(
            A87&amp;"|"&amp;$E$106&amp;"|"&amp;$C$77,
            creator_rate!$A$2:$A$99&amp;"|"&amp;
            creator_rate!$B$2:$B$99&amp;"|"&amp;
            creator_rate!$C$2:$C$99,
            0
          )
       ),
  0
)
</f>
        <v>188000</v>
      </c>
    </row>
    <row r="88">
      <c r="E88" s="4"/>
      <c r="G88" s="2"/>
      <c r="I88" s="13"/>
    </row>
    <row r="89">
      <c r="A89" s="16" t="s">
        <v>39</v>
      </c>
      <c r="C89" s="28">
        <f>sum(C79:C87)</f>
        <v>14</v>
      </c>
      <c r="E89" s="29">
        <f>sum(E79:E87)</f>
        <v>14</v>
      </c>
      <c r="G89" s="28">
        <f>sum(G79:G87)</f>
        <v>28</v>
      </c>
      <c r="I89" s="40">
        <f>sum(I79:I87)</f>
        <v>3312000</v>
      </c>
    </row>
    <row r="90">
      <c r="A90" s="20"/>
      <c r="C90" s="20"/>
      <c r="D90" s="22"/>
      <c r="E90" s="21"/>
      <c r="G90" s="20"/>
      <c r="I90" s="21"/>
    </row>
    <row r="91">
      <c r="A91" s="41" t="s">
        <v>25</v>
      </c>
      <c r="C91" s="47" t="s">
        <v>42</v>
      </c>
      <c r="D91" s="22"/>
      <c r="E91" s="21"/>
      <c r="G91" s="20"/>
      <c r="I91" s="21"/>
    </row>
    <row r="92">
      <c r="A92" s="20" t="s">
        <v>35</v>
      </c>
      <c r="C92" s="20" t="s">
        <v>36</v>
      </c>
      <c r="D92" s="22"/>
      <c r="E92" s="21" t="s">
        <v>37</v>
      </c>
      <c r="G92" s="20" t="s">
        <v>38</v>
      </c>
      <c r="I92" s="21" t="s">
        <v>26</v>
      </c>
    </row>
    <row r="93">
      <c r="A93" s="19" t="s">
        <v>17</v>
      </c>
      <c r="B93" s="23"/>
      <c r="C93" s="32">
        <v>1.0</v>
      </c>
      <c r="D93" s="43"/>
      <c r="E93" s="32">
        <v>6.0</v>
      </c>
      <c r="F93" s="43"/>
      <c r="G93" s="44">
        <f>C93+E93</f>
        <v>7</v>
      </c>
      <c r="I93" s="34">
        <f t="array" ref="I93">IFNA(
  C93 * INDEX(
          creator_rate!$D$2:$D$99,
          MATCH(
            A93&amp;"|"&amp;$C$106&amp;"|"&amp;$C$91,
            creator_rate!$A$2:$A$99&amp;"|"&amp;
            creator_rate!$B$2:$B$99&amp;"|"&amp;
            creator_rate!$C$2:$C$99,
            0
          )
       ),
  0
)
+
IFNA(
  E93 * INDEX(
          creator_rate!$D$2:$D$99,
          MATCH(
            A93&amp;"|"&amp;$E$106&amp;"|"&amp;$C$91,
            creator_rate!$A$2:$A$99&amp;"|"&amp;
            creator_rate!$B$2:$B$99&amp;"|"&amp;
            creator_rate!$C$2:$C$99,
            0
          )
       ),
  0
)
</f>
        <v>1868000</v>
      </c>
    </row>
    <row r="94">
      <c r="A94" s="19"/>
      <c r="B94" s="2"/>
      <c r="C94" s="35"/>
      <c r="D94" s="43"/>
      <c r="E94" s="27"/>
      <c r="F94" s="43"/>
      <c r="G94" s="35"/>
      <c r="I94" s="13"/>
    </row>
    <row r="95">
      <c r="A95" s="19" t="s">
        <v>18</v>
      </c>
      <c r="B95" s="2"/>
      <c r="C95" s="32">
        <v>3.0</v>
      </c>
      <c r="D95" s="43"/>
      <c r="E95" s="32">
        <v>2.0</v>
      </c>
      <c r="F95" s="43"/>
      <c r="G95" s="44">
        <f>C95+E95</f>
        <v>5</v>
      </c>
      <c r="I95" s="34">
        <f t="array" ref="I95">IFNA(
  C95 * INDEX(
          creator_rate!$D$2:$D$99,
          MATCH(
            A95&amp;"|"&amp;$C$106&amp;"|"&amp;$C$91,
            creator_rate!$A$2:$A$99&amp;"|"&amp;
            creator_rate!$B$2:$B$99&amp;"|"&amp;
            creator_rate!$C$2:$C$99,
            0
          )
       ),
  0
)
+
IFNA(
  E95 * INDEX(
          creator_rate!$D$2:$D$99,
          MATCH(
            A95&amp;"|"&amp;$E$106&amp;"|"&amp;$C$91,
            creator_rate!$A$2:$A$99&amp;"|"&amp;
            creator_rate!$B$2:$B$99&amp;"|"&amp;
            creator_rate!$C$2:$C$99,
            0
          )
       ),
  0
)
</f>
        <v>1124000</v>
      </c>
    </row>
    <row r="96">
      <c r="A96" s="19"/>
      <c r="B96" s="2"/>
      <c r="C96" s="35"/>
      <c r="D96" s="43"/>
      <c r="E96" s="27"/>
      <c r="F96" s="43"/>
      <c r="G96" s="35"/>
      <c r="I96" s="45"/>
    </row>
    <row r="97">
      <c r="A97" s="19" t="s">
        <v>19</v>
      </c>
      <c r="B97" s="2"/>
      <c r="C97" s="32">
        <v>0.0</v>
      </c>
      <c r="D97" s="43"/>
      <c r="E97" s="32">
        <v>5.0</v>
      </c>
      <c r="F97" s="43"/>
      <c r="G97" s="44">
        <f>C97+E97</f>
        <v>5</v>
      </c>
      <c r="I97" s="34">
        <f t="array" ref="I97">IFNA(
  C97 * INDEX(
          creator_rate!$D$2:$D$99,
          MATCH(
            A97&amp;"|"&amp;$C$106&amp;"|"&amp;$C$91,
            creator_rate!$A$2:$A$99&amp;"|"&amp;
            creator_rate!$B$2:$B$99&amp;"|"&amp;
            creator_rate!$C$2:$C$99,
            0
          )
       ),
  0
)
+
IFNA(
  E97 * INDEX(
          creator_rate!$D$2:$D$99,
          MATCH(
            A97&amp;"|"&amp;$E$106&amp;"|"&amp;$C$91,
            creator_rate!$A$2:$A$99&amp;"|"&amp;
            creator_rate!$B$2:$B$99&amp;"|"&amp;
            creator_rate!$C$2:$C$99,
            0
          )
       ),
  0
)
</f>
        <v>1400000</v>
      </c>
    </row>
    <row r="98">
      <c r="A98" s="19"/>
      <c r="B98" s="2"/>
      <c r="C98" s="35"/>
      <c r="D98" s="43"/>
      <c r="E98" s="27"/>
      <c r="F98" s="43"/>
      <c r="G98" s="35"/>
      <c r="I98" s="45"/>
    </row>
    <row r="99">
      <c r="A99" s="19" t="s">
        <v>20</v>
      </c>
      <c r="B99" s="2"/>
      <c r="C99" s="32">
        <v>10.0</v>
      </c>
      <c r="D99" s="43"/>
      <c r="E99" s="32">
        <v>0.0</v>
      </c>
      <c r="F99" s="43"/>
      <c r="G99" s="44">
        <f>C99+E99</f>
        <v>10</v>
      </c>
      <c r="I99" s="34">
        <f t="array" ref="I99">IFNA(
  C99 * INDEX(
          creator_rate!$D$2:$D$99,
          MATCH(
            A99&amp;"|"&amp;$C$106&amp;"|"&amp;$C$91,
            creator_rate!$A$2:$A$99&amp;"|"&amp;
            creator_rate!$B$2:$B$99&amp;"|"&amp;
            creator_rate!$C$2:$C$99,
            0
          )
       ),
  0
)
+
IFNA(
  E99 * INDEX(
          creator_rate!$D$2:$D$99,
          MATCH(
            A99&amp;"|"&amp;$E$106&amp;"|"&amp;$C$91,
            creator_rate!$A$2:$A$99&amp;"|"&amp;
            creator_rate!$B$2:$B$99&amp;"|"&amp;
            creator_rate!$C$2:$C$99,
            0
          )
       ),
  0
)
</f>
        <v>400000</v>
      </c>
    </row>
    <row r="100">
      <c r="A100" s="19"/>
      <c r="B100" s="2"/>
      <c r="C100" s="35"/>
      <c r="D100" s="43"/>
      <c r="E100" s="27"/>
      <c r="F100" s="43"/>
      <c r="G100" s="35"/>
      <c r="I100" s="46"/>
    </row>
    <row r="101">
      <c r="A101" s="19" t="s">
        <v>21</v>
      </c>
      <c r="B101" s="2"/>
      <c r="C101" s="32">
        <v>0.0</v>
      </c>
      <c r="D101" s="43"/>
      <c r="E101" s="32">
        <v>1.0</v>
      </c>
      <c r="F101" s="43"/>
      <c r="G101" s="44">
        <f>C101+E101</f>
        <v>1</v>
      </c>
      <c r="I101" s="34">
        <f t="array" ref="I101">IFNA(
  C101 * INDEX(
          creator_rate!$D$2:$D$99,
          MATCH(
            A101&amp;"|"&amp;$C$106&amp;"|"&amp;$C$91,
            creator_rate!$A$2:$A$99&amp;"|"&amp;
            creator_rate!$B$2:$B$99&amp;"|"&amp;
            creator_rate!$C$2:$C$99,
            0
          )
       ),
  0
)
+
IFNA(
  E101 * INDEX(
          creator_rate!$D$2:$D$99,
          MATCH(
            A101&amp;"|"&amp;$E$106&amp;"|"&amp;$C$91,
            creator_rate!$A$2:$A$99&amp;"|"&amp;
            creator_rate!$B$2:$B$99&amp;"|"&amp;
            creator_rate!$C$2:$C$99,
            0
          )
       ),
  0
)
</f>
        <v>280000</v>
      </c>
    </row>
    <row r="102">
      <c r="E102" s="4"/>
      <c r="G102" s="2"/>
      <c r="I102" s="13"/>
    </row>
    <row r="103">
      <c r="A103" s="16" t="s">
        <v>39</v>
      </c>
      <c r="C103" s="28">
        <f>sum(C93:C101)</f>
        <v>14</v>
      </c>
      <c r="E103" s="29">
        <f>sum(E93:E101)</f>
        <v>14</v>
      </c>
      <c r="G103" s="28">
        <f>sum(G93:G101)</f>
        <v>28</v>
      </c>
      <c r="I103" s="28">
        <f>sum(I93:I101)</f>
        <v>5072000</v>
      </c>
    </row>
    <row r="104">
      <c r="A104" s="20"/>
      <c r="C104" s="20"/>
      <c r="D104" s="22"/>
      <c r="E104" s="21"/>
      <c r="G104" s="20"/>
      <c r="I104" s="21"/>
    </row>
    <row r="105">
      <c r="A105" s="41" t="s">
        <v>25</v>
      </c>
      <c r="C105" s="42" t="s">
        <v>43</v>
      </c>
      <c r="D105" s="22"/>
      <c r="E105" s="21"/>
      <c r="G105" s="20"/>
      <c r="I105" s="21"/>
    </row>
    <row r="106">
      <c r="A106" s="20" t="s">
        <v>35</v>
      </c>
      <c r="C106" s="20" t="s">
        <v>36</v>
      </c>
      <c r="D106" s="22"/>
      <c r="E106" s="21" t="s">
        <v>37</v>
      </c>
      <c r="G106" s="20" t="s">
        <v>38</v>
      </c>
      <c r="I106" s="21" t="s">
        <v>26</v>
      </c>
    </row>
    <row r="107">
      <c r="A107" s="19" t="s">
        <v>17</v>
      </c>
      <c r="B107" s="23"/>
      <c r="C107" s="32">
        <v>1.0</v>
      </c>
      <c r="D107" s="43"/>
      <c r="E107" s="32">
        <v>6.0</v>
      </c>
      <c r="F107" s="43"/>
      <c r="G107" s="44">
        <f>C107+E107</f>
        <v>7</v>
      </c>
      <c r="I107" s="34">
        <f t="array" ref="I107">IFNA(
  C107 * INDEX(
          creator_rate!$D$2:$D$99,
          MATCH(
            A107&amp;"|"&amp;$C$106&amp;"|"&amp;$C$105,
            creator_rate!$A$2:$A$99&amp;"|"&amp;
            creator_rate!$B$2:$B$99&amp;"|"&amp;
            creator_rate!$C$2:$C$99,
            0
          )
       ),
  0
)
+
IFNA(
  E107 * INDEX(
          creator_rate!$D$2:$D$99,
          MATCH(
            A107&amp;"|"&amp;$E$106&amp;"|"&amp;$C$105,
            creator_rate!$A$2:$A$99&amp;"|"&amp;
            creator_rate!$B$2:$B$99&amp;"|"&amp;
            creator_rate!$C$2:$C$99,
            0
          )
       ),
  0
)
</f>
        <v>2062000</v>
      </c>
    </row>
    <row r="108">
      <c r="A108" s="19"/>
      <c r="B108" s="2"/>
      <c r="C108" s="35"/>
      <c r="D108" s="43"/>
      <c r="E108" s="27"/>
      <c r="F108" s="43"/>
      <c r="G108" s="35"/>
      <c r="I108" s="13"/>
    </row>
    <row r="109">
      <c r="A109" s="19" t="s">
        <v>18</v>
      </c>
      <c r="B109" s="2"/>
      <c r="C109" s="32">
        <v>3.0</v>
      </c>
      <c r="D109" s="43"/>
      <c r="E109" s="32">
        <v>2.0</v>
      </c>
      <c r="F109" s="43"/>
      <c r="G109" s="44">
        <f>C109+E109</f>
        <v>5</v>
      </c>
      <c r="I109" s="34">
        <f t="array" ref="I109">IFNA(
  C109 * INDEX(
          creator_rate!$D$2:$D$99,
          MATCH(
            A109&amp;"|"&amp;$C$106&amp;"|"&amp;$C$105,
            creator_rate!$A$2:$A$99&amp;"|"&amp;
            creator_rate!$B$2:$B$99&amp;"|"&amp;
            creator_rate!$C$2:$C$99,
            0
          )
       ),
  0
)
+
IFNA(
  E109 * INDEX(
          creator_rate!$D$2:$D$99,
          MATCH(
            A109&amp;"|"&amp;$E$106&amp;"|"&amp;$C$105,
            creator_rate!$A$2:$A$99&amp;"|"&amp;
            creator_rate!$B$2:$B$99&amp;"|"&amp;
            creator_rate!$C$2:$C$99,
            0
          )
       ),
  0
)
</f>
        <v>1830000</v>
      </c>
    </row>
    <row r="110">
      <c r="A110" s="19"/>
      <c r="B110" s="2"/>
      <c r="C110" s="35"/>
      <c r="D110" s="43"/>
      <c r="E110" s="27"/>
      <c r="F110" s="43"/>
      <c r="G110" s="35"/>
      <c r="I110" s="45"/>
    </row>
    <row r="111">
      <c r="A111" s="19" t="s">
        <v>19</v>
      </c>
      <c r="B111" s="2"/>
      <c r="C111" s="32">
        <v>0.0</v>
      </c>
      <c r="D111" s="43"/>
      <c r="E111" s="32">
        <v>5.0</v>
      </c>
      <c r="F111" s="43"/>
      <c r="G111" s="44">
        <f>C111+E111</f>
        <v>5</v>
      </c>
      <c r="I111" s="34">
        <f t="array" ref="I111">IFNA(
  C111 * INDEX(
          creator_rate!$D$2:$D$99,
          MATCH(
            A111&amp;"|"&amp;$C$106&amp;"|"&amp;$C$105,
            creator_rate!$A$2:$A$99&amp;"|"&amp;
            creator_rate!$B$2:$B$99&amp;"|"&amp;
            creator_rate!$C$2:$C$99,
            0
          )
       ),
  0
)
+
IFNA(
  E111 * INDEX(
          creator_rate!$D$2:$D$99,
          MATCH(
            A111&amp;"|"&amp;$E$106&amp;"|"&amp;$C$105,
            creator_rate!$A$2:$A$99&amp;"|"&amp;
            creator_rate!$B$2:$B$99&amp;"|"&amp;
            creator_rate!$C$2:$C$99,
            0
          )
       ),
  0
)
</f>
        <v>1485000</v>
      </c>
    </row>
    <row r="112">
      <c r="A112" s="19"/>
      <c r="B112" s="2"/>
      <c r="C112" s="35"/>
      <c r="D112" s="43"/>
      <c r="E112" s="27"/>
      <c r="F112" s="43"/>
      <c r="G112" s="35"/>
      <c r="I112" s="45"/>
    </row>
    <row r="113">
      <c r="A113" s="19" t="s">
        <v>20</v>
      </c>
      <c r="B113" s="2"/>
      <c r="C113" s="32">
        <v>10.0</v>
      </c>
      <c r="D113" s="43"/>
      <c r="E113" s="32">
        <v>0.0</v>
      </c>
      <c r="F113" s="43"/>
      <c r="G113" s="44">
        <f>C113+E113</f>
        <v>10</v>
      </c>
      <c r="I113" s="34">
        <f t="array" ref="I113">IFNA(
  C113 * INDEX(
          creator_rate!$D$2:$D$99,
          MATCH(
            A113&amp;"|"&amp;$C$106&amp;"|"&amp;$C$105,
            creator_rate!$A$2:$A$99&amp;"|"&amp;
            creator_rate!$B$2:$B$99&amp;"|"&amp;
            creator_rate!$C$2:$C$99,
            0
          )
       ),
  0
)
+
IFNA(
  E113 * INDEX(
          creator_rate!$D$2:$D$99,
          MATCH(
            A113&amp;"|"&amp;$E$106&amp;"|"&amp;$C$105,
            creator_rate!$A$2:$A$99&amp;"|"&amp;
            creator_rate!$B$2:$B$99&amp;"|"&amp;
            creator_rate!$C$2:$C$99,
            0
          )
       ),
  0
)
</f>
        <v>500000</v>
      </c>
    </row>
    <row r="114">
      <c r="A114" s="19"/>
      <c r="B114" s="2"/>
      <c r="C114" s="35"/>
      <c r="D114" s="43"/>
      <c r="E114" s="27"/>
      <c r="F114" s="43"/>
      <c r="G114" s="35"/>
      <c r="I114" s="46"/>
    </row>
    <row r="115">
      <c r="A115" s="19" t="s">
        <v>21</v>
      </c>
      <c r="B115" s="2"/>
      <c r="C115" s="32">
        <v>0.0</v>
      </c>
      <c r="D115" s="43"/>
      <c r="E115" s="32">
        <v>1.0</v>
      </c>
      <c r="F115" s="43"/>
      <c r="G115" s="44">
        <f>C115+E115</f>
        <v>1</v>
      </c>
      <c r="I115" s="34">
        <f t="array" ref="I115">IFNA(
  C115 * INDEX(
          creator_rate!$D$2:$D$99,
          MATCH(
            A115&amp;"|"&amp;$C$106&amp;"|"&amp;$C$105,
            creator_rate!$A$2:$A$99&amp;"|"&amp;
            creator_rate!$B$2:$B$99&amp;"|"&amp;
            creator_rate!$C$2:$C$99,
            0
          )
       ),
  0
)
+
IFNA(
  E115 * INDEX(
          creator_rate!$D$2:$D$99,
          MATCH(
            A115&amp;"|"&amp;$E$106&amp;"|"&amp;$C$105,
            creator_rate!$A$2:$A$99&amp;"|"&amp;
            creator_rate!$B$2:$B$99&amp;"|"&amp;
            creator_rate!$C$2:$C$99,
            0
          )
       ),
  0
)
</f>
        <v>495000</v>
      </c>
    </row>
    <row r="116">
      <c r="E116" s="4"/>
      <c r="G116" s="2"/>
      <c r="I116" s="13"/>
    </row>
    <row r="117">
      <c r="A117" s="16" t="s">
        <v>39</v>
      </c>
      <c r="C117" s="28">
        <f>sum(C107:C115)</f>
        <v>14</v>
      </c>
      <c r="E117" s="29">
        <f>sum(E107:E115)</f>
        <v>14</v>
      </c>
      <c r="G117" s="28">
        <f>sum(G107:G115)</f>
        <v>28</v>
      </c>
      <c r="I117" s="40">
        <f>sum(I107:I115)</f>
        <v>6372000</v>
      </c>
    </row>
    <row r="118">
      <c r="E118" s="4"/>
    </row>
    <row r="119">
      <c r="A119" s="3" t="s">
        <v>44</v>
      </c>
      <c r="E119" s="4"/>
    </row>
    <row r="120">
      <c r="A120" s="20" t="s">
        <v>35</v>
      </c>
      <c r="C120" s="48" t="s">
        <v>45</v>
      </c>
      <c r="D120" s="22"/>
      <c r="E120" s="49" t="s">
        <v>46</v>
      </c>
      <c r="F120" s="22"/>
      <c r="G120" s="48" t="s">
        <v>47</v>
      </c>
      <c r="H120" s="22"/>
      <c r="I120" s="48" t="s">
        <v>48</v>
      </c>
      <c r="K120" s="21" t="s">
        <v>26</v>
      </c>
    </row>
    <row r="121">
      <c r="A121" s="19" t="s">
        <v>17</v>
      </c>
      <c r="B121" s="23"/>
      <c r="C121" s="32">
        <v>5.0</v>
      </c>
      <c r="E121" s="50">
        <v>3000.0</v>
      </c>
      <c r="G121" s="32">
        <v>300.0</v>
      </c>
      <c r="I121" s="32">
        <v>100.0</v>
      </c>
      <c r="K121" s="34">
        <f t="array" ref="K121">SUMPRODUCT(
  {C121,E121,G121,I121},
  VLOOKUP($A121, cpe!$A$1:$E$6, {2,3,4,4}, FALSE)
)</f>
        <v>16975</v>
      </c>
    </row>
    <row r="122">
      <c r="A122" s="19"/>
      <c r="B122" s="2"/>
      <c r="C122" s="35"/>
      <c r="E122" s="27"/>
      <c r="G122" s="35"/>
      <c r="I122" s="35"/>
    </row>
    <row r="123">
      <c r="A123" s="19" t="s">
        <v>18</v>
      </c>
      <c r="B123" s="2"/>
      <c r="C123" s="32">
        <v>3.0</v>
      </c>
      <c r="E123" s="50">
        <v>5000.0</v>
      </c>
      <c r="G123" s="32">
        <v>50.0</v>
      </c>
      <c r="I123" s="32">
        <v>250.0</v>
      </c>
      <c r="K123" s="34">
        <f t="array" ref="K123">SUMPRODUCT(
  {C123,E123,G123,I123},
  VLOOKUP($A123, cpe!$A$1:$E$6, {2,3,4,4}, FALSE)
)</f>
        <v>29125</v>
      </c>
    </row>
    <row r="124">
      <c r="A124" s="19"/>
      <c r="B124" s="2"/>
      <c r="C124" s="35"/>
      <c r="E124" s="27"/>
      <c r="G124" s="35"/>
      <c r="I124" s="35"/>
      <c r="K124" s="36"/>
    </row>
    <row r="125">
      <c r="A125" s="19" t="s">
        <v>19</v>
      </c>
      <c r="B125" s="2"/>
      <c r="C125" s="32">
        <v>0.0</v>
      </c>
      <c r="E125" s="50">
        <v>4000.0</v>
      </c>
      <c r="G125" s="32">
        <v>60.0</v>
      </c>
      <c r="I125" s="32">
        <v>450.0</v>
      </c>
      <c r="K125" s="34">
        <f t="array" ref="K125">SUMPRODUCT(
  {C125,E125,G125,I125},
  VLOOKUP($A125, cpe!$A$1:$E$6, {2,3,4,4}, FALSE)
)</f>
        <v>14845</v>
      </c>
    </row>
    <row r="126">
      <c r="A126" s="19"/>
      <c r="B126" s="2"/>
      <c r="C126" s="35"/>
      <c r="E126" s="27"/>
      <c r="G126" s="35"/>
      <c r="I126" s="35"/>
      <c r="K126" s="36"/>
    </row>
    <row r="127">
      <c r="A127" s="19" t="s">
        <v>20</v>
      </c>
      <c r="B127" s="2"/>
      <c r="C127" s="32">
        <v>10.0</v>
      </c>
      <c r="E127" s="50">
        <v>2000.0</v>
      </c>
      <c r="G127" s="32">
        <v>70.0</v>
      </c>
      <c r="I127" s="32">
        <v>400.0</v>
      </c>
      <c r="K127" s="34">
        <f t="array" ref="K127">SUMPRODUCT(
  {C127,E127,G127,I127},
  VLOOKUP($A127, cpe!$A$1:$E$6, {2,3,4,4}, FALSE)
)</f>
        <v>18830</v>
      </c>
    </row>
    <row r="128">
      <c r="A128" s="19"/>
      <c r="B128" s="2"/>
      <c r="C128" s="35"/>
      <c r="E128" s="27"/>
      <c r="G128" s="35"/>
      <c r="I128" s="35"/>
      <c r="K128" s="37"/>
    </row>
    <row r="129">
      <c r="A129" s="19" t="s">
        <v>21</v>
      </c>
      <c r="B129" s="2"/>
      <c r="C129" s="32">
        <v>0.0</v>
      </c>
      <c r="E129" s="50">
        <v>1000.0</v>
      </c>
      <c r="G129" s="32">
        <v>100.0</v>
      </c>
      <c r="I129" s="32">
        <v>100.0</v>
      </c>
      <c r="K129" s="34">
        <f t="array" ref="K129">SUMPRODUCT(
  {C129,E129,G129,I129},
  VLOOKUP($A129, cpe!$A$1:$E$6, {2,3,4,4}, FALSE)
)</f>
        <v>6000</v>
      </c>
    </row>
    <row r="130">
      <c r="E130" s="4"/>
    </row>
    <row r="131">
      <c r="A131" s="16" t="s">
        <v>39</v>
      </c>
      <c r="C131" s="28">
        <f>sum(C121:C129)</f>
        <v>18</v>
      </c>
      <c r="D131" s="51"/>
      <c r="E131" s="29">
        <f>sum(E121:E129)</f>
        <v>15000</v>
      </c>
      <c r="F131" s="51"/>
      <c r="G131" s="28">
        <f>sum(G121:G129)</f>
        <v>580</v>
      </c>
      <c r="H131" s="51"/>
      <c r="I131" s="28">
        <f>sum(I121:I129)</f>
        <v>1300</v>
      </c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  <row r="1001">
      <c r="E1001" s="4"/>
    </row>
    <row r="1002">
      <c r="E1002" s="4"/>
    </row>
    <row r="1003">
      <c r="E1003" s="4"/>
    </row>
    <row r="1004">
      <c r="E1004" s="4"/>
    </row>
    <row r="1005">
      <c r="E1005" s="4"/>
    </row>
    <row r="1006">
      <c r="E1006" s="4"/>
    </row>
    <row r="1007">
      <c r="E1007" s="4"/>
    </row>
    <row r="1008">
      <c r="E1008" s="4"/>
    </row>
    <row r="1009">
      <c r="E1009" s="4"/>
    </row>
    <row r="1010">
      <c r="E1010" s="4"/>
    </row>
    <row r="1011">
      <c r="E1011" s="4"/>
    </row>
    <row r="1012">
      <c r="E1012" s="4"/>
    </row>
    <row r="1013">
      <c r="E1013" s="4"/>
    </row>
    <row r="1014">
      <c r="E1014" s="4"/>
    </row>
    <row r="1015">
      <c r="E1015" s="4"/>
    </row>
    <row r="1016">
      <c r="E1016" s="4"/>
    </row>
    <row r="1017">
      <c r="E1017" s="4"/>
    </row>
    <row r="1018">
      <c r="E1018" s="4"/>
    </row>
    <row r="1019">
      <c r="E1019" s="4"/>
    </row>
    <row r="1020">
      <c r="E1020" s="4"/>
    </row>
    <row r="1021">
      <c r="E1021" s="4"/>
    </row>
    <row r="1022">
      <c r="E1022" s="4"/>
    </row>
    <row r="1023">
      <c r="E1023" s="4"/>
    </row>
    <row r="1024">
      <c r="E1024" s="4"/>
    </row>
    <row r="1025">
      <c r="E1025" s="4"/>
    </row>
    <row r="1026">
      <c r="E1026" s="4"/>
    </row>
    <row r="1027">
      <c r="E1027" s="4"/>
    </row>
    <row r="1028">
      <c r="E1028" s="4"/>
    </row>
    <row r="1029">
      <c r="E1029" s="4"/>
    </row>
    <row r="1030">
      <c r="E1030" s="4"/>
    </row>
    <row r="1031">
      <c r="E1031" s="4"/>
    </row>
    <row r="1032">
      <c r="E1032" s="4"/>
    </row>
    <row r="1033">
      <c r="E1033" s="4"/>
    </row>
    <row r="1034">
      <c r="E1034" s="4"/>
    </row>
    <row r="1035">
      <c r="E1035" s="4"/>
    </row>
    <row r="1036">
      <c r="E1036" s="4"/>
    </row>
    <row r="1037">
      <c r="E1037" s="4"/>
    </row>
    <row r="1038">
      <c r="E1038" s="4"/>
    </row>
    <row r="1039">
      <c r="E1039" s="4"/>
    </row>
    <row r="1040">
      <c r="E1040" s="4"/>
    </row>
    <row r="1041">
      <c r="E1041" s="4"/>
    </row>
    <row r="1042">
      <c r="E1042" s="4"/>
    </row>
    <row r="1043">
      <c r="E1043" s="4"/>
    </row>
    <row r="1044">
      <c r="E1044" s="4"/>
    </row>
    <row r="1045">
      <c r="E1045" s="4"/>
    </row>
    <row r="1046">
      <c r="E1046" s="4"/>
    </row>
    <row r="1047">
      <c r="E1047" s="4"/>
    </row>
    <row r="1048">
      <c r="E1048" s="4"/>
    </row>
    <row r="1049">
      <c r="E1049" s="4"/>
    </row>
    <row r="1050">
      <c r="E1050" s="4"/>
    </row>
    <row r="1051">
      <c r="E1051" s="4"/>
    </row>
    <row r="1052">
      <c r="E1052" s="4"/>
    </row>
    <row r="1053">
      <c r="E1053" s="4"/>
    </row>
    <row r="1054">
      <c r="E1054" s="4"/>
    </row>
    <row r="1055">
      <c r="E1055" s="4"/>
    </row>
    <row r="1056">
      <c r="E1056" s="4"/>
    </row>
    <row r="1057">
      <c r="E1057" s="4"/>
    </row>
    <row r="1058">
      <c r="E1058" s="4"/>
    </row>
    <row r="1059">
      <c r="E1059" s="4"/>
    </row>
    <row r="1060">
      <c r="E1060" s="4"/>
    </row>
    <row r="1061">
      <c r="E1061" s="4"/>
    </row>
    <row r="1062">
      <c r="E1062" s="4"/>
    </row>
    <row r="1063">
      <c r="E1063" s="4"/>
    </row>
    <row r="1064">
      <c r="E1064" s="4"/>
    </row>
    <row r="1065">
      <c r="E1065" s="4"/>
    </row>
    <row r="1066">
      <c r="E1066" s="4"/>
    </row>
    <row r="1067">
      <c r="E1067" s="4"/>
    </row>
    <row r="1068">
      <c r="E1068" s="4"/>
    </row>
    <row r="1069">
      <c r="E1069" s="4"/>
    </row>
    <row r="1070">
      <c r="E1070" s="4"/>
    </row>
    <row r="1071">
      <c r="E1071" s="4"/>
    </row>
    <row r="1072">
      <c r="E1072" s="4"/>
    </row>
    <row r="1073">
      <c r="E1073" s="4"/>
    </row>
    <row r="1074">
      <c r="E1074" s="4"/>
    </row>
    <row r="1075">
      <c r="E1075" s="4"/>
    </row>
    <row r="1076">
      <c r="E1076" s="4"/>
    </row>
    <row r="1077">
      <c r="E1077" s="4"/>
    </row>
    <row r="1078">
      <c r="E1078" s="4"/>
    </row>
    <row r="1079">
      <c r="E1079" s="4"/>
    </row>
    <row r="1080">
      <c r="E1080" s="4"/>
    </row>
    <row r="1081">
      <c r="E1081" s="4"/>
    </row>
    <row r="1082">
      <c r="E1082" s="4"/>
    </row>
    <row r="1083">
      <c r="E1083" s="4"/>
    </row>
    <row r="1084">
      <c r="E1084" s="4"/>
    </row>
    <row r="1085">
      <c r="E1085" s="4"/>
    </row>
    <row r="1086">
      <c r="E1086" s="4"/>
    </row>
    <row r="1087">
      <c r="E1087" s="4"/>
    </row>
    <row r="1088">
      <c r="E1088" s="4"/>
    </row>
    <row r="1089">
      <c r="E1089" s="4"/>
    </row>
    <row r="1090">
      <c r="E1090" s="4"/>
    </row>
    <row r="1091">
      <c r="E1091" s="4"/>
    </row>
    <row r="1092">
      <c r="E1092" s="4"/>
    </row>
    <row r="1093">
      <c r="E109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7.5"/>
    <col customWidth="1" min="5" max="5" width="12.0"/>
  </cols>
  <sheetData>
    <row r="1">
      <c r="A1" s="52" t="s">
        <v>49</v>
      </c>
      <c r="B1" s="52" t="s">
        <v>50</v>
      </c>
      <c r="C1" s="52" t="s">
        <v>25</v>
      </c>
      <c r="D1" s="52" t="s">
        <v>51</v>
      </c>
      <c r="E1" s="53" t="s">
        <v>52</v>
      </c>
    </row>
    <row r="2">
      <c r="A2" s="54" t="s">
        <v>27</v>
      </c>
      <c r="B2" s="54" t="s">
        <v>28</v>
      </c>
      <c r="C2" s="54">
        <v>1.0</v>
      </c>
      <c r="D2" s="55" t="s">
        <v>53</v>
      </c>
      <c r="E2" s="56">
        <v>60000.0</v>
      </c>
    </row>
    <row r="3">
      <c r="A3" s="54" t="s">
        <v>27</v>
      </c>
      <c r="B3" s="54" t="s">
        <v>29</v>
      </c>
      <c r="C3" s="54">
        <v>2.0</v>
      </c>
      <c r="D3" s="55" t="s">
        <v>54</v>
      </c>
      <c r="E3" s="56">
        <v>30000.0</v>
      </c>
    </row>
    <row r="4">
      <c r="A4" s="54" t="s">
        <v>27</v>
      </c>
      <c r="B4" s="54" t="s">
        <v>30</v>
      </c>
      <c r="C4" s="54">
        <v>3.0</v>
      </c>
      <c r="D4" s="57" t="s">
        <v>55</v>
      </c>
      <c r="E4" s="56">
        <v>15000.0</v>
      </c>
    </row>
    <row r="5">
      <c r="A5" s="54" t="s">
        <v>31</v>
      </c>
      <c r="B5" s="54">
        <v>1.0</v>
      </c>
      <c r="C5" s="54">
        <v>1.0</v>
      </c>
      <c r="D5" s="55" t="s">
        <v>56</v>
      </c>
      <c r="E5" s="56">
        <v>60000.0</v>
      </c>
    </row>
    <row r="6">
      <c r="A6" s="54" t="s">
        <v>31</v>
      </c>
      <c r="B6" s="54">
        <v>2.0</v>
      </c>
      <c r="C6" s="54">
        <v>2.0</v>
      </c>
      <c r="D6" s="55" t="s">
        <v>57</v>
      </c>
      <c r="E6" s="56">
        <v>30000.0</v>
      </c>
    </row>
    <row r="7">
      <c r="A7" s="54" t="s">
        <v>31</v>
      </c>
      <c r="B7" s="54">
        <v>3.0</v>
      </c>
      <c r="C7" s="54">
        <v>3.0</v>
      </c>
      <c r="D7" s="55" t="s">
        <v>58</v>
      </c>
      <c r="E7" s="56">
        <v>15000.0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5.38"/>
  </cols>
  <sheetData>
    <row r="1">
      <c r="A1" s="58" t="s">
        <v>35</v>
      </c>
      <c r="B1" s="59" t="s">
        <v>50</v>
      </c>
      <c r="C1" s="60" t="s">
        <v>25</v>
      </c>
      <c r="D1" s="59" t="s">
        <v>59</v>
      </c>
    </row>
    <row r="2">
      <c r="A2" s="61" t="s">
        <v>18</v>
      </c>
      <c r="B2" s="19" t="s">
        <v>36</v>
      </c>
      <c r="C2" s="62" t="s">
        <v>43</v>
      </c>
      <c r="D2" s="63">
        <v>280000.0</v>
      </c>
    </row>
    <row r="3">
      <c r="A3" s="61" t="s">
        <v>18</v>
      </c>
      <c r="B3" s="63" t="s">
        <v>37</v>
      </c>
      <c r="C3" s="62" t="s">
        <v>43</v>
      </c>
      <c r="D3" s="63">
        <v>495000.0</v>
      </c>
    </row>
    <row r="4">
      <c r="A4" s="61" t="s">
        <v>19</v>
      </c>
      <c r="B4" s="63" t="s">
        <v>37</v>
      </c>
      <c r="C4" s="62" t="s">
        <v>43</v>
      </c>
      <c r="D4" s="63">
        <v>297000.0</v>
      </c>
    </row>
    <row r="5">
      <c r="A5" s="61" t="s">
        <v>17</v>
      </c>
      <c r="B5" s="19" t="s">
        <v>36</v>
      </c>
      <c r="C5" s="62" t="s">
        <v>43</v>
      </c>
      <c r="D5" s="63">
        <v>280000.0</v>
      </c>
    </row>
    <row r="6">
      <c r="A6" s="61" t="s">
        <v>17</v>
      </c>
      <c r="B6" s="63" t="s">
        <v>37</v>
      </c>
      <c r="C6" s="62" t="s">
        <v>43</v>
      </c>
      <c r="D6" s="63">
        <v>297000.0</v>
      </c>
    </row>
    <row r="7">
      <c r="A7" s="61" t="s">
        <v>21</v>
      </c>
      <c r="B7" s="63" t="s">
        <v>37</v>
      </c>
      <c r="C7" s="62" t="s">
        <v>43</v>
      </c>
      <c r="D7" s="63">
        <v>495000.0</v>
      </c>
    </row>
    <row r="8">
      <c r="A8" s="61" t="s">
        <v>20</v>
      </c>
      <c r="B8" s="19" t="s">
        <v>36</v>
      </c>
      <c r="C8" s="62" t="s">
        <v>43</v>
      </c>
      <c r="D8" s="63">
        <v>50000.0</v>
      </c>
    </row>
    <row r="9">
      <c r="A9" s="61" t="s">
        <v>60</v>
      </c>
      <c r="B9" s="19" t="s">
        <v>36</v>
      </c>
      <c r="C9" s="62" t="s">
        <v>43</v>
      </c>
      <c r="D9" s="63">
        <v>50000.0</v>
      </c>
    </row>
    <row r="10">
      <c r="A10" s="61" t="s">
        <v>18</v>
      </c>
      <c r="B10" s="19" t="s">
        <v>36</v>
      </c>
      <c r="C10" s="64" t="s">
        <v>42</v>
      </c>
      <c r="D10" s="35">
        <v>188000.0</v>
      </c>
    </row>
    <row r="11">
      <c r="A11" s="61" t="s">
        <v>18</v>
      </c>
      <c r="B11" s="63" t="s">
        <v>37</v>
      </c>
      <c r="C11" s="64" t="s">
        <v>42</v>
      </c>
      <c r="D11" s="2">
        <v>280000.0</v>
      </c>
    </row>
    <row r="12">
      <c r="A12" s="61" t="s">
        <v>19</v>
      </c>
      <c r="B12" s="63" t="s">
        <v>37</v>
      </c>
      <c r="C12" s="64" t="s">
        <v>42</v>
      </c>
      <c r="D12" s="35">
        <v>280000.0</v>
      </c>
    </row>
    <row r="13">
      <c r="A13" s="61" t="s">
        <v>17</v>
      </c>
      <c r="B13" s="19" t="s">
        <v>36</v>
      </c>
      <c r="C13" s="64" t="s">
        <v>42</v>
      </c>
      <c r="D13" s="35">
        <v>188000.0</v>
      </c>
    </row>
    <row r="14">
      <c r="A14" s="61" t="s">
        <v>17</v>
      </c>
      <c r="B14" s="63" t="s">
        <v>37</v>
      </c>
      <c r="C14" s="64" t="s">
        <v>42</v>
      </c>
      <c r="D14" s="35">
        <v>280000.0</v>
      </c>
    </row>
    <row r="15">
      <c r="A15" s="61" t="s">
        <v>21</v>
      </c>
      <c r="B15" s="63" t="s">
        <v>37</v>
      </c>
      <c r="C15" s="64" t="s">
        <v>42</v>
      </c>
      <c r="D15" s="35">
        <v>280000.0</v>
      </c>
    </row>
    <row r="16">
      <c r="A16" s="61" t="s">
        <v>20</v>
      </c>
      <c r="B16" s="19" t="s">
        <v>36</v>
      </c>
      <c r="C16" s="64" t="s">
        <v>42</v>
      </c>
      <c r="D16" s="35">
        <v>40000.0</v>
      </c>
    </row>
    <row r="17">
      <c r="A17" s="61" t="s">
        <v>60</v>
      </c>
      <c r="B17" s="19" t="s">
        <v>36</v>
      </c>
      <c r="C17" s="64" t="s">
        <v>42</v>
      </c>
      <c r="D17" s="35">
        <v>40000.0</v>
      </c>
    </row>
    <row r="18">
      <c r="A18" s="61" t="s">
        <v>18</v>
      </c>
      <c r="B18" s="19" t="s">
        <v>36</v>
      </c>
      <c r="C18" s="64" t="s">
        <v>41</v>
      </c>
      <c r="D18" s="35">
        <v>95000.0</v>
      </c>
    </row>
    <row r="19">
      <c r="A19" s="61" t="s">
        <v>18</v>
      </c>
      <c r="B19" s="63" t="s">
        <v>37</v>
      </c>
      <c r="C19" s="64" t="s">
        <v>41</v>
      </c>
      <c r="D19" s="2">
        <v>188000.0</v>
      </c>
    </row>
    <row r="20">
      <c r="A20" s="61" t="s">
        <v>19</v>
      </c>
      <c r="B20" s="63" t="s">
        <v>37</v>
      </c>
      <c r="C20" s="64" t="s">
        <v>41</v>
      </c>
      <c r="D20" s="35">
        <v>188000.0</v>
      </c>
    </row>
    <row r="21">
      <c r="A21" s="61" t="s">
        <v>17</v>
      </c>
      <c r="B21" s="19" t="s">
        <v>36</v>
      </c>
      <c r="C21" s="64" t="s">
        <v>41</v>
      </c>
      <c r="D21" s="35">
        <v>95000.0</v>
      </c>
    </row>
    <row r="22">
      <c r="A22" s="61" t="s">
        <v>17</v>
      </c>
      <c r="B22" s="63" t="s">
        <v>37</v>
      </c>
      <c r="C22" s="64" t="s">
        <v>41</v>
      </c>
      <c r="D22" s="35">
        <v>188000.0</v>
      </c>
    </row>
    <row r="23">
      <c r="A23" s="61" t="s">
        <v>21</v>
      </c>
      <c r="B23" s="63" t="s">
        <v>37</v>
      </c>
      <c r="C23" s="64" t="s">
        <v>41</v>
      </c>
      <c r="D23" s="35">
        <v>188000.0</v>
      </c>
    </row>
    <row r="24">
      <c r="A24" s="61" t="s">
        <v>20</v>
      </c>
      <c r="B24" s="19" t="s">
        <v>36</v>
      </c>
      <c r="C24" s="64" t="s">
        <v>41</v>
      </c>
      <c r="D24" s="35">
        <v>30000.0</v>
      </c>
    </row>
    <row r="25">
      <c r="A25" s="61" t="s">
        <v>60</v>
      </c>
      <c r="B25" s="19" t="s">
        <v>36</v>
      </c>
      <c r="C25" s="64" t="s">
        <v>41</v>
      </c>
      <c r="D25" s="35">
        <v>30000.0</v>
      </c>
    </row>
    <row r="26">
      <c r="A26" s="61" t="s">
        <v>18</v>
      </c>
      <c r="B26" s="19" t="s">
        <v>36</v>
      </c>
      <c r="C26" s="64" t="s">
        <v>40</v>
      </c>
      <c r="D26" s="63">
        <v>49000.0</v>
      </c>
    </row>
    <row r="27">
      <c r="A27" s="61" t="s">
        <v>18</v>
      </c>
      <c r="B27" s="63" t="s">
        <v>37</v>
      </c>
      <c r="C27" s="64" t="s">
        <v>40</v>
      </c>
      <c r="D27" s="19">
        <v>76000.0</v>
      </c>
    </row>
    <row r="28">
      <c r="A28" s="61" t="s">
        <v>19</v>
      </c>
      <c r="B28" s="63" t="s">
        <v>37</v>
      </c>
      <c r="C28" s="64" t="s">
        <v>40</v>
      </c>
      <c r="D28" s="63">
        <v>76000.0</v>
      </c>
    </row>
    <row r="29">
      <c r="A29" s="61" t="s">
        <v>17</v>
      </c>
      <c r="B29" s="19" t="s">
        <v>36</v>
      </c>
      <c r="C29" s="64" t="s">
        <v>40</v>
      </c>
      <c r="D29" s="63">
        <v>49000.0</v>
      </c>
    </row>
    <row r="30">
      <c r="A30" s="61" t="s">
        <v>17</v>
      </c>
      <c r="B30" s="63" t="s">
        <v>37</v>
      </c>
      <c r="C30" s="64" t="s">
        <v>40</v>
      </c>
      <c r="D30" s="63">
        <v>76000.0</v>
      </c>
    </row>
    <row r="31">
      <c r="A31" s="61" t="s">
        <v>21</v>
      </c>
      <c r="B31" s="63" t="s">
        <v>37</v>
      </c>
      <c r="C31" s="64" t="s">
        <v>40</v>
      </c>
      <c r="D31" s="63">
        <v>76000.0</v>
      </c>
    </row>
    <row r="32">
      <c r="A32" s="61" t="s">
        <v>20</v>
      </c>
      <c r="B32" s="19" t="s">
        <v>36</v>
      </c>
      <c r="C32" s="64" t="s">
        <v>40</v>
      </c>
      <c r="D32" s="63">
        <v>15000.0</v>
      </c>
    </row>
    <row r="33">
      <c r="A33" s="61" t="s">
        <v>60</v>
      </c>
      <c r="B33" s="19" t="s">
        <v>36</v>
      </c>
      <c r="C33" s="64" t="s">
        <v>40</v>
      </c>
      <c r="D33" s="63">
        <v>15000.0</v>
      </c>
    </row>
    <row r="34">
      <c r="A34" s="61" t="s">
        <v>18</v>
      </c>
      <c r="B34" s="19" t="s">
        <v>36</v>
      </c>
      <c r="C34" s="64" t="s">
        <v>34</v>
      </c>
      <c r="D34" s="35">
        <v>7600.0</v>
      </c>
    </row>
    <row r="35">
      <c r="A35" s="61" t="s">
        <v>18</v>
      </c>
      <c r="B35" s="63" t="s">
        <v>37</v>
      </c>
      <c r="C35" s="64" t="s">
        <v>34</v>
      </c>
      <c r="D35" s="2">
        <v>9600.0</v>
      </c>
    </row>
    <row r="36">
      <c r="A36" s="61" t="s">
        <v>19</v>
      </c>
      <c r="B36" s="63" t="s">
        <v>37</v>
      </c>
      <c r="C36" s="64" t="s">
        <v>34</v>
      </c>
      <c r="D36" s="35">
        <v>9600.0</v>
      </c>
    </row>
    <row r="37">
      <c r="A37" s="61" t="s">
        <v>17</v>
      </c>
      <c r="B37" s="19" t="s">
        <v>36</v>
      </c>
      <c r="C37" s="64" t="s">
        <v>34</v>
      </c>
      <c r="D37" s="35">
        <v>7600.0</v>
      </c>
    </row>
    <row r="38">
      <c r="A38" s="61" t="s">
        <v>17</v>
      </c>
      <c r="B38" s="63" t="s">
        <v>37</v>
      </c>
      <c r="C38" s="64" t="s">
        <v>34</v>
      </c>
      <c r="D38" s="35">
        <v>9600.0</v>
      </c>
    </row>
    <row r="39">
      <c r="A39" s="61" t="s">
        <v>21</v>
      </c>
      <c r="B39" s="63" t="s">
        <v>37</v>
      </c>
      <c r="C39" s="64" t="s">
        <v>34</v>
      </c>
      <c r="D39" s="35">
        <v>9600.0</v>
      </c>
    </row>
    <row r="40">
      <c r="A40" s="61" t="s">
        <v>20</v>
      </c>
      <c r="B40" s="19" t="s">
        <v>36</v>
      </c>
      <c r="C40" s="64" t="s">
        <v>34</v>
      </c>
      <c r="D40" s="35">
        <v>5000.0</v>
      </c>
    </row>
    <row r="41">
      <c r="A41" s="61" t="s">
        <v>60</v>
      </c>
      <c r="B41" s="19" t="s">
        <v>36</v>
      </c>
      <c r="C41" s="64" t="s">
        <v>34</v>
      </c>
      <c r="D41" s="35">
        <v>5000.0</v>
      </c>
    </row>
    <row r="42">
      <c r="A42" s="22"/>
      <c r="C42" s="65"/>
    </row>
    <row r="43">
      <c r="A43" s="22"/>
      <c r="C43" s="65"/>
    </row>
    <row r="44">
      <c r="A44" s="22"/>
      <c r="C44" s="65"/>
    </row>
    <row r="45">
      <c r="A45" s="22"/>
      <c r="C45" s="65"/>
    </row>
    <row r="46">
      <c r="A46" s="22"/>
      <c r="C46" s="65"/>
    </row>
    <row r="47">
      <c r="A47" s="22"/>
      <c r="C47" s="65"/>
    </row>
    <row r="48">
      <c r="A48" s="22"/>
      <c r="C48" s="65"/>
    </row>
    <row r="49">
      <c r="A49" s="22"/>
      <c r="C49" s="65"/>
    </row>
    <row r="50">
      <c r="A50" s="22"/>
      <c r="C50" s="65"/>
    </row>
    <row r="51">
      <c r="A51" s="22"/>
      <c r="C51" s="65"/>
    </row>
    <row r="52">
      <c r="A52" s="22"/>
      <c r="C52" s="65"/>
    </row>
    <row r="53">
      <c r="A53" s="22"/>
      <c r="C53" s="65"/>
    </row>
    <row r="54">
      <c r="A54" s="22"/>
      <c r="C54" s="65"/>
    </row>
    <row r="55">
      <c r="A55" s="22"/>
      <c r="C55" s="65"/>
    </row>
    <row r="56">
      <c r="A56" s="22"/>
      <c r="C56" s="65"/>
    </row>
    <row r="57">
      <c r="A57" s="22"/>
      <c r="C57" s="65"/>
    </row>
    <row r="58">
      <c r="A58" s="22"/>
      <c r="C58" s="65"/>
    </row>
    <row r="59">
      <c r="A59" s="22"/>
      <c r="C59" s="65"/>
    </row>
    <row r="60">
      <c r="A60" s="22"/>
      <c r="C60" s="65"/>
    </row>
    <row r="61">
      <c r="A61" s="22"/>
      <c r="C61" s="65"/>
    </row>
    <row r="62">
      <c r="A62" s="22"/>
      <c r="C62" s="65"/>
    </row>
    <row r="63">
      <c r="A63" s="22"/>
      <c r="C63" s="65"/>
    </row>
    <row r="64">
      <c r="A64" s="22"/>
      <c r="C64" s="65"/>
    </row>
    <row r="65">
      <c r="A65" s="22"/>
      <c r="C65" s="65"/>
    </row>
    <row r="66">
      <c r="A66" s="22"/>
      <c r="C66" s="65"/>
    </row>
    <row r="67">
      <c r="A67" s="22"/>
      <c r="C67" s="65"/>
    </row>
    <row r="68">
      <c r="A68" s="22"/>
      <c r="C68" s="65"/>
    </row>
    <row r="69">
      <c r="A69" s="22"/>
      <c r="C69" s="65"/>
    </row>
    <row r="70">
      <c r="A70" s="22"/>
      <c r="C70" s="65"/>
    </row>
    <row r="71">
      <c r="A71" s="22"/>
      <c r="C71" s="65"/>
    </row>
    <row r="72">
      <c r="A72" s="22"/>
      <c r="C72" s="65"/>
    </row>
    <row r="73">
      <c r="A73" s="22"/>
      <c r="C73" s="65"/>
    </row>
    <row r="74">
      <c r="A74" s="22"/>
      <c r="C74" s="65"/>
    </row>
    <row r="75">
      <c r="A75" s="22"/>
      <c r="C75" s="65"/>
    </row>
    <row r="76">
      <c r="A76" s="22"/>
      <c r="C76" s="65"/>
    </row>
    <row r="77">
      <c r="A77" s="22"/>
      <c r="C77" s="65"/>
    </row>
    <row r="78">
      <c r="A78" s="22"/>
      <c r="C78" s="65"/>
    </row>
    <row r="79">
      <c r="A79" s="22"/>
      <c r="C79" s="65"/>
    </row>
    <row r="80">
      <c r="A80" s="22"/>
      <c r="C80" s="65"/>
    </row>
    <row r="81">
      <c r="A81" s="22"/>
      <c r="C81" s="65"/>
    </row>
    <row r="82">
      <c r="A82" s="22"/>
      <c r="C82" s="65"/>
    </row>
    <row r="83">
      <c r="A83" s="22"/>
      <c r="C83" s="65"/>
    </row>
    <row r="84">
      <c r="A84" s="22"/>
      <c r="C84" s="65"/>
    </row>
    <row r="85">
      <c r="A85" s="22"/>
      <c r="C85" s="65"/>
    </row>
    <row r="86">
      <c r="A86" s="22"/>
      <c r="C86" s="65"/>
    </row>
    <row r="87">
      <c r="A87" s="22"/>
      <c r="C87" s="65"/>
    </row>
    <row r="88">
      <c r="A88" s="22"/>
      <c r="C88" s="65"/>
    </row>
    <row r="89">
      <c r="A89" s="22"/>
      <c r="C89" s="65"/>
    </row>
    <row r="90">
      <c r="A90" s="22"/>
      <c r="C90" s="65"/>
    </row>
    <row r="91">
      <c r="A91" s="22"/>
      <c r="C91" s="65"/>
    </row>
    <row r="92">
      <c r="A92" s="22"/>
      <c r="C92" s="65"/>
    </row>
    <row r="93">
      <c r="A93" s="22"/>
      <c r="C93" s="65"/>
    </row>
    <row r="94">
      <c r="A94" s="22"/>
      <c r="C94" s="65"/>
    </row>
    <row r="95">
      <c r="A95" s="22"/>
      <c r="C95" s="65"/>
    </row>
    <row r="96">
      <c r="A96" s="22"/>
      <c r="C96" s="65"/>
    </row>
    <row r="97">
      <c r="A97" s="22"/>
      <c r="C97" s="65"/>
    </row>
    <row r="98">
      <c r="A98" s="22"/>
      <c r="C98" s="65"/>
    </row>
    <row r="99">
      <c r="A99" s="22"/>
      <c r="C99" s="65"/>
    </row>
    <row r="100">
      <c r="A100" s="22"/>
      <c r="C100" s="65"/>
    </row>
    <row r="101">
      <c r="A101" s="22"/>
      <c r="C101" s="65"/>
    </row>
    <row r="102">
      <c r="A102" s="22"/>
      <c r="C102" s="65"/>
    </row>
    <row r="103">
      <c r="A103" s="22"/>
      <c r="C103" s="65"/>
    </row>
    <row r="104">
      <c r="A104" s="22"/>
      <c r="C104" s="65"/>
    </row>
    <row r="105">
      <c r="A105" s="22"/>
      <c r="C105" s="65"/>
    </row>
    <row r="106">
      <c r="A106" s="22"/>
      <c r="C106" s="65"/>
    </row>
    <row r="107">
      <c r="A107" s="22"/>
      <c r="C107" s="65"/>
    </row>
    <row r="108">
      <c r="A108" s="22"/>
      <c r="C108" s="65"/>
    </row>
    <row r="109">
      <c r="A109" s="22"/>
      <c r="C109" s="65"/>
    </row>
    <row r="110">
      <c r="A110" s="22"/>
      <c r="C110" s="65"/>
    </row>
    <row r="111">
      <c r="A111" s="22"/>
      <c r="C111" s="65"/>
    </row>
    <row r="112">
      <c r="A112" s="22"/>
      <c r="C112" s="65"/>
    </row>
    <row r="113">
      <c r="A113" s="22"/>
      <c r="C113" s="65"/>
    </row>
    <row r="114">
      <c r="A114" s="22"/>
      <c r="C114" s="65"/>
    </row>
    <row r="115">
      <c r="A115" s="22"/>
      <c r="C115" s="65"/>
    </row>
    <row r="116">
      <c r="A116" s="22"/>
      <c r="C116" s="65"/>
    </row>
    <row r="117">
      <c r="A117" s="22"/>
      <c r="C117" s="65"/>
    </row>
    <row r="118">
      <c r="A118" s="22"/>
      <c r="C118" s="65"/>
    </row>
    <row r="119">
      <c r="A119" s="22"/>
      <c r="C119" s="65"/>
    </row>
    <row r="120">
      <c r="A120" s="22"/>
      <c r="C120" s="65"/>
    </row>
    <row r="121">
      <c r="A121" s="22"/>
      <c r="C121" s="65"/>
    </row>
    <row r="122">
      <c r="A122" s="22"/>
      <c r="C122" s="65"/>
    </row>
    <row r="123">
      <c r="A123" s="22"/>
      <c r="C123" s="65"/>
    </row>
    <row r="124">
      <c r="A124" s="22"/>
      <c r="C124" s="65"/>
    </row>
    <row r="125">
      <c r="A125" s="22"/>
      <c r="C125" s="65"/>
    </row>
    <row r="126">
      <c r="A126" s="22"/>
      <c r="C126" s="65"/>
    </row>
    <row r="127">
      <c r="A127" s="22"/>
      <c r="C127" s="65"/>
    </row>
    <row r="128">
      <c r="A128" s="22"/>
      <c r="C128" s="65"/>
    </row>
    <row r="129">
      <c r="A129" s="22"/>
      <c r="C129" s="65"/>
    </row>
    <row r="130">
      <c r="A130" s="22"/>
      <c r="C130" s="65"/>
    </row>
    <row r="131">
      <c r="A131" s="22"/>
      <c r="C131" s="65"/>
    </row>
    <row r="132">
      <c r="A132" s="22"/>
      <c r="C132" s="65"/>
    </row>
    <row r="133">
      <c r="A133" s="22"/>
      <c r="C133" s="65"/>
    </row>
    <row r="134">
      <c r="A134" s="22"/>
      <c r="C134" s="65"/>
    </row>
    <row r="135">
      <c r="A135" s="22"/>
      <c r="C135" s="65"/>
    </row>
    <row r="136">
      <c r="A136" s="22"/>
      <c r="C136" s="65"/>
    </row>
    <row r="137">
      <c r="A137" s="22"/>
      <c r="C137" s="65"/>
    </row>
    <row r="138">
      <c r="A138" s="22"/>
      <c r="C138" s="65"/>
    </row>
    <row r="139">
      <c r="A139" s="22"/>
      <c r="C139" s="65"/>
    </row>
    <row r="140">
      <c r="A140" s="22"/>
      <c r="C140" s="65"/>
    </row>
    <row r="141">
      <c r="A141" s="22"/>
      <c r="C141" s="65"/>
    </row>
    <row r="142">
      <c r="A142" s="22"/>
      <c r="C142" s="65"/>
    </row>
    <row r="143">
      <c r="A143" s="22"/>
      <c r="C143" s="65"/>
    </row>
    <row r="144">
      <c r="A144" s="22"/>
      <c r="C144" s="65"/>
    </row>
    <row r="145">
      <c r="A145" s="22"/>
      <c r="C145" s="65"/>
    </row>
    <row r="146">
      <c r="A146" s="22"/>
      <c r="C146" s="65"/>
    </row>
    <row r="147">
      <c r="A147" s="22"/>
      <c r="C147" s="65"/>
    </row>
    <row r="148">
      <c r="A148" s="22"/>
      <c r="C148" s="65"/>
    </row>
    <row r="149">
      <c r="A149" s="22"/>
      <c r="C149" s="65"/>
    </row>
    <row r="150">
      <c r="A150" s="22"/>
      <c r="C150" s="65"/>
    </row>
    <row r="151">
      <c r="A151" s="22"/>
      <c r="C151" s="65"/>
    </row>
    <row r="152">
      <c r="A152" s="22"/>
      <c r="C152" s="65"/>
    </row>
    <row r="153">
      <c r="A153" s="22"/>
      <c r="C153" s="65"/>
    </row>
    <row r="154">
      <c r="A154" s="22"/>
      <c r="C154" s="65"/>
    </row>
    <row r="155">
      <c r="A155" s="22"/>
      <c r="C155" s="65"/>
    </row>
    <row r="156">
      <c r="A156" s="22"/>
      <c r="C156" s="65"/>
    </row>
    <row r="157">
      <c r="A157" s="22"/>
      <c r="C157" s="65"/>
    </row>
    <row r="158">
      <c r="A158" s="22"/>
      <c r="C158" s="65"/>
    </row>
    <row r="159">
      <c r="A159" s="22"/>
      <c r="C159" s="65"/>
    </row>
    <row r="160">
      <c r="A160" s="22"/>
      <c r="C160" s="65"/>
    </row>
    <row r="161">
      <c r="A161" s="22"/>
      <c r="C161" s="65"/>
    </row>
    <row r="162">
      <c r="A162" s="22"/>
      <c r="C162" s="65"/>
    </row>
    <row r="163">
      <c r="A163" s="22"/>
      <c r="C163" s="65"/>
    </row>
    <row r="164">
      <c r="A164" s="22"/>
      <c r="C164" s="65"/>
    </row>
    <row r="165">
      <c r="A165" s="22"/>
      <c r="C165" s="65"/>
    </row>
    <row r="166">
      <c r="A166" s="22"/>
      <c r="C166" s="65"/>
    </row>
    <row r="167">
      <c r="A167" s="22"/>
      <c r="C167" s="65"/>
    </row>
    <row r="168">
      <c r="A168" s="22"/>
      <c r="C168" s="65"/>
    </row>
    <row r="169">
      <c r="A169" s="22"/>
      <c r="C169" s="65"/>
    </row>
    <row r="170">
      <c r="A170" s="22"/>
      <c r="C170" s="65"/>
    </row>
    <row r="171">
      <c r="A171" s="22"/>
      <c r="C171" s="65"/>
    </row>
    <row r="172">
      <c r="A172" s="22"/>
      <c r="C172" s="65"/>
    </row>
    <row r="173">
      <c r="A173" s="22"/>
      <c r="C173" s="65"/>
    </row>
    <row r="174">
      <c r="A174" s="22"/>
      <c r="C174" s="65"/>
    </row>
    <row r="175">
      <c r="A175" s="22"/>
      <c r="C175" s="65"/>
    </row>
    <row r="176">
      <c r="A176" s="22"/>
      <c r="C176" s="65"/>
    </row>
    <row r="177">
      <c r="A177" s="22"/>
      <c r="C177" s="65"/>
    </row>
    <row r="178">
      <c r="A178" s="22"/>
      <c r="C178" s="65"/>
    </row>
    <row r="179">
      <c r="A179" s="22"/>
      <c r="C179" s="65"/>
    </row>
    <row r="180">
      <c r="A180" s="22"/>
      <c r="C180" s="65"/>
    </row>
    <row r="181">
      <c r="A181" s="22"/>
      <c r="C181" s="65"/>
    </row>
    <row r="182">
      <c r="A182" s="22"/>
      <c r="C182" s="65"/>
    </row>
    <row r="183">
      <c r="A183" s="22"/>
      <c r="C183" s="65"/>
    </row>
    <row r="184">
      <c r="A184" s="22"/>
      <c r="C184" s="65"/>
    </row>
    <row r="185">
      <c r="A185" s="22"/>
      <c r="C185" s="65"/>
    </row>
    <row r="186">
      <c r="A186" s="22"/>
      <c r="C186" s="65"/>
    </row>
    <row r="187">
      <c r="A187" s="22"/>
      <c r="C187" s="65"/>
    </row>
    <row r="188">
      <c r="A188" s="22"/>
      <c r="C188" s="65"/>
    </row>
    <row r="189">
      <c r="A189" s="22"/>
      <c r="C189" s="65"/>
    </row>
    <row r="190">
      <c r="A190" s="22"/>
      <c r="C190" s="65"/>
    </row>
    <row r="191">
      <c r="A191" s="22"/>
      <c r="C191" s="65"/>
    </row>
    <row r="192">
      <c r="A192" s="22"/>
      <c r="C192" s="65"/>
    </row>
    <row r="193">
      <c r="A193" s="22"/>
      <c r="C193" s="65"/>
    </row>
    <row r="194">
      <c r="A194" s="22"/>
      <c r="C194" s="65"/>
    </row>
    <row r="195">
      <c r="A195" s="22"/>
      <c r="C195" s="65"/>
    </row>
    <row r="196">
      <c r="A196" s="22"/>
      <c r="C196" s="65"/>
    </row>
    <row r="197">
      <c r="A197" s="22"/>
      <c r="C197" s="65"/>
    </row>
    <row r="198">
      <c r="A198" s="22"/>
      <c r="C198" s="65"/>
    </row>
    <row r="199">
      <c r="A199" s="22"/>
      <c r="C199" s="65"/>
    </row>
    <row r="200">
      <c r="A200" s="22"/>
      <c r="C200" s="65"/>
    </row>
    <row r="201">
      <c r="A201" s="22"/>
      <c r="C201" s="65"/>
    </row>
    <row r="202">
      <c r="A202" s="22"/>
      <c r="C202" s="65"/>
    </row>
    <row r="203">
      <c r="A203" s="22"/>
      <c r="C203" s="65"/>
    </row>
    <row r="204">
      <c r="A204" s="22"/>
      <c r="C204" s="65"/>
    </row>
    <row r="205">
      <c r="A205" s="22"/>
      <c r="C205" s="65"/>
    </row>
    <row r="206">
      <c r="A206" s="22"/>
      <c r="C206" s="65"/>
    </row>
    <row r="207">
      <c r="A207" s="22"/>
      <c r="C207" s="65"/>
    </row>
    <row r="208">
      <c r="A208" s="22"/>
      <c r="C208" s="65"/>
    </row>
    <row r="209">
      <c r="A209" s="22"/>
      <c r="C209" s="65"/>
    </row>
    <row r="210">
      <c r="A210" s="22"/>
      <c r="C210" s="65"/>
    </row>
    <row r="211">
      <c r="A211" s="22"/>
      <c r="C211" s="65"/>
    </row>
    <row r="212">
      <c r="A212" s="22"/>
      <c r="C212" s="65"/>
    </row>
    <row r="213">
      <c r="A213" s="22"/>
      <c r="C213" s="65"/>
    </row>
    <row r="214">
      <c r="A214" s="22"/>
      <c r="C214" s="65"/>
    </row>
    <row r="215">
      <c r="A215" s="22"/>
      <c r="C215" s="65"/>
    </row>
    <row r="216">
      <c r="A216" s="22"/>
      <c r="C216" s="65"/>
    </row>
    <row r="217">
      <c r="A217" s="22"/>
      <c r="C217" s="65"/>
    </row>
    <row r="218">
      <c r="A218" s="22"/>
      <c r="C218" s="65"/>
    </row>
    <row r="219">
      <c r="A219" s="22"/>
      <c r="C219" s="65"/>
    </row>
    <row r="220">
      <c r="A220" s="22"/>
      <c r="C220" s="65"/>
    </row>
    <row r="221">
      <c r="A221" s="22"/>
      <c r="C221" s="65"/>
    </row>
    <row r="222">
      <c r="A222" s="22"/>
      <c r="C222" s="65"/>
    </row>
    <row r="223">
      <c r="A223" s="22"/>
      <c r="C223" s="65"/>
    </row>
    <row r="224">
      <c r="A224" s="22"/>
      <c r="C224" s="65"/>
    </row>
    <row r="225">
      <c r="A225" s="22"/>
      <c r="C225" s="65"/>
    </row>
    <row r="226">
      <c r="A226" s="22"/>
      <c r="C226" s="65"/>
    </row>
    <row r="227">
      <c r="A227" s="22"/>
      <c r="C227" s="65"/>
    </row>
    <row r="228">
      <c r="A228" s="22"/>
      <c r="C228" s="65"/>
    </row>
    <row r="229">
      <c r="A229" s="22"/>
      <c r="C229" s="65"/>
    </row>
    <row r="230">
      <c r="A230" s="22"/>
      <c r="C230" s="65"/>
    </row>
    <row r="231">
      <c r="A231" s="22"/>
      <c r="C231" s="65"/>
    </row>
    <row r="232">
      <c r="A232" s="22"/>
      <c r="C232" s="65"/>
    </row>
    <row r="233">
      <c r="A233" s="22"/>
      <c r="C233" s="65"/>
    </row>
    <row r="234">
      <c r="A234" s="22"/>
      <c r="C234" s="65"/>
    </row>
    <row r="235">
      <c r="A235" s="22"/>
      <c r="C235" s="65"/>
    </row>
    <row r="236">
      <c r="A236" s="22"/>
      <c r="C236" s="65"/>
    </row>
    <row r="237">
      <c r="A237" s="22"/>
      <c r="C237" s="65"/>
    </row>
    <row r="238">
      <c r="A238" s="22"/>
      <c r="C238" s="65"/>
    </row>
    <row r="239">
      <c r="A239" s="22"/>
      <c r="C239" s="65"/>
    </row>
    <row r="240">
      <c r="A240" s="22"/>
      <c r="C240" s="65"/>
    </row>
    <row r="241">
      <c r="A241" s="22"/>
      <c r="C241" s="65"/>
    </row>
    <row r="242">
      <c r="A242" s="22"/>
      <c r="C242" s="65"/>
    </row>
    <row r="243">
      <c r="A243" s="22"/>
      <c r="C243" s="65"/>
    </row>
    <row r="244">
      <c r="A244" s="22"/>
      <c r="C244" s="65"/>
    </row>
    <row r="245">
      <c r="A245" s="22"/>
      <c r="C245" s="65"/>
    </row>
    <row r="246">
      <c r="A246" s="22"/>
      <c r="C246" s="65"/>
    </row>
    <row r="247">
      <c r="A247" s="22"/>
      <c r="C247" s="65"/>
    </row>
    <row r="248">
      <c r="A248" s="22"/>
      <c r="C248" s="65"/>
    </row>
    <row r="249">
      <c r="A249" s="22"/>
      <c r="C249" s="65"/>
    </row>
    <row r="250">
      <c r="A250" s="22"/>
      <c r="C250" s="65"/>
    </row>
    <row r="251">
      <c r="A251" s="22"/>
      <c r="C251" s="65"/>
    </row>
    <row r="252">
      <c r="A252" s="22"/>
      <c r="C252" s="65"/>
    </row>
    <row r="253">
      <c r="A253" s="22"/>
      <c r="C253" s="65"/>
    </row>
    <row r="254">
      <c r="A254" s="22"/>
      <c r="C254" s="65"/>
    </row>
    <row r="255">
      <c r="A255" s="22"/>
      <c r="C255" s="65"/>
    </row>
    <row r="256">
      <c r="A256" s="22"/>
      <c r="C256" s="65"/>
    </row>
    <row r="257">
      <c r="A257" s="22"/>
      <c r="C257" s="65"/>
    </row>
    <row r="258">
      <c r="A258" s="22"/>
      <c r="C258" s="65"/>
    </row>
    <row r="259">
      <c r="A259" s="22"/>
      <c r="C259" s="65"/>
    </row>
    <row r="260">
      <c r="A260" s="22"/>
      <c r="C260" s="65"/>
    </row>
    <row r="261">
      <c r="A261" s="22"/>
      <c r="C261" s="65"/>
    </row>
    <row r="262">
      <c r="A262" s="22"/>
      <c r="C262" s="65"/>
    </row>
    <row r="263">
      <c r="A263" s="22"/>
      <c r="C263" s="65"/>
    </row>
    <row r="264">
      <c r="A264" s="22"/>
      <c r="C264" s="65"/>
    </row>
    <row r="265">
      <c r="A265" s="22"/>
      <c r="C265" s="65"/>
    </row>
    <row r="266">
      <c r="A266" s="22"/>
      <c r="C266" s="65"/>
    </row>
    <row r="267">
      <c r="A267" s="22"/>
      <c r="C267" s="65"/>
    </row>
    <row r="268">
      <c r="A268" s="22"/>
      <c r="C268" s="65"/>
    </row>
    <row r="269">
      <c r="A269" s="22"/>
      <c r="C269" s="65"/>
    </row>
    <row r="270">
      <c r="A270" s="22"/>
      <c r="C270" s="65"/>
    </row>
    <row r="271">
      <c r="A271" s="22"/>
      <c r="C271" s="65"/>
    </row>
    <row r="272">
      <c r="A272" s="22"/>
      <c r="C272" s="65"/>
    </row>
    <row r="273">
      <c r="A273" s="22"/>
      <c r="C273" s="65"/>
    </row>
    <row r="274">
      <c r="A274" s="22"/>
      <c r="C274" s="65"/>
    </row>
    <row r="275">
      <c r="A275" s="22"/>
      <c r="C275" s="65"/>
    </row>
    <row r="276">
      <c r="A276" s="22"/>
      <c r="C276" s="65"/>
    </row>
    <row r="277">
      <c r="A277" s="22"/>
      <c r="C277" s="65"/>
    </row>
    <row r="278">
      <c r="A278" s="22"/>
      <c r="C278" s="65"/>
    </row>
    <row r="279">
      <c r="A279" s="22"/>
      <c r="C279" s="65"/>
    </row>
    <row r="280">
      <c r="A280" s="22"/>
      <c r="C280" s="65"/>
    </row>
    <row r="281">
      <c r="A281" s="22"/>
      <c r="C281" s="65"/>
    </row>
    <row r="282">
      <c r="A282" s="22"/>
      <c r="C282" s="65"/>
    </row>
    <row r="283">
      <c r="A283" s="22"/>
      <c r="C283" s="65"/>
    </row>
    <row r="284">
      <c r="A284" s="22"/>
      <c r="C284" s="65"/>
    </row>
    <row r="285">
      <c r="A285" s="22"/>
      <c r="C285" s="65"/>
    </row>
    <row r="286">
      <c r="A286" s="22"/>
      <c r="C286" s="65"/>
    </row>
    <row r="287">
      <c r="A287" s="22"/>
      <c r="C287" s="65"/>
    </row>
    <row r="288">
      <c r="A288" s="22"/>
      <c r="C288" s="65"/>
    </row>
    <row r="289">
      <c r="A289" s="22"/>
      <c r="C289" s="65"/>
    </row>
    <row r="290">
      <c r="A290" s="22"/>
      <c r="C290" s="65"/>
    </row>
    <row r="291">
      <c r="A291" s="22"/>
      <c r="C291" s="65"/>
    </row>
    <row r="292">
      <c r="A292" s="22"/>
      <c r="C292" s="65"/>
    </row>
    <row r="293">
      <c r="A293" s="22"/>
      <c r="C293" s="65"/>
    </row>
    <row r="294">
      <c r="A294" s="22"/>
      <c r="C294" s="65"/>
    </row>
    <row r="295">
      <c r="A295" s="22"/>
      <c r="C295" s="65"/>
    </row>
    <row r="296">
      <c r="A296" s="22"/>
      <c r="C296" s="65"/>
    </row>
    <row r="297">
      <c r="A297" s="22"/>
      <c r="C297" s="65"/>
    </row>
    <row r="298">
      <c r="A298" s="22"/>
      <c r="C298" s="65"/>
    </row>
    <row r="299">
      <c r="A299" s="22"/>
      <c r="C299" s="65"/>
    </row>
    <row r="300">
      <c r="A300" s="22"/>
      <c r="C300" s="65"/>
    </row>
    <row r="301">
      <c r="A301" s="22"/>
      <c r="C301" s="65"/>
    </row>
    <row r="302">
      <c r="A302" s="22"/>
      <c r="C302" s="65"/>
    </row>
    <row r="303">
      <c r="A303" s="22"/>
      <c r="C303" s="65"/>
    </row>
    <row r="304">
      <c r="A304" s="22"/>
      <c r="C304" s="65"/>
    </row>
    <row r="305">
      <c r="A305" s="22"/>
      <c r="C305" s="65"/>
    </row>
    <row r="306">
      <c r="A306" s="22"/>
      <c r="C306" s="65"/>
    </row>
    <row r="307">
      <c r="A307" s="22"/>
      <c r="C307" s="65"/>
    </row>
    <row r="308">
      <c r="A308" s="22"/>
      <c r="C308" s="65"/>
    </row>
    <row r="309">
      <c r="A309" s="22"/>
      <c r="C309" s="65"/>
    </row>
    <row r="310">
      <c r="A310" s="22"/>
      <c r="C310" s="65"/>
    </row>
    <row r="311">
      <c r="A311" s="22"/>
      <c r="C311" s="65"/>
    </row>
    <row r="312">
      <c r="A312" s="22"/>
      <c r="C312" s="65"/>
    </row>
    <row r="313">
      <c r="A313" s="22"/>
      <c r="C313" s="65"/>
    </row>
    <row r="314">
      <c r="A314" s="22"/>
      <c r="C314" s="65"/>
    </row>
    <row r="315">
      <c r="A315" s="22"/>
      <c r="C315" s="65"/>
    </row>
    <row r="316">
      <c r="A316" s="22"/>
      <c r="C316" s="65"/>
    </row>
    <row r="317">
      <c r="A317" s="22"/>
      <c r="C317" s="65"/>
    </row>
    <row r="318">
      <c r="A318" s="22"/>
      <c r="C318" s="65"/>
    </row>
    <row r="319">
      <c r="A319" s="22"/>
      <c r="C319" s="65"/>
    </row>
    <row r="320">
      <c r="A320" s="22"/>
      <c r="C320" s="65"/>
    </row>
    <row r="321">
      <c r="A321" s="22"/>
      <c r="C321" s="65"/>
    </row>
    <row r="322">
      <c r="A322" s="22"/>
      <c r="C322" s="65"/>
    </row>
    <row r="323">
      <c r="A323" s="22"/>
      <c r="C323" s="65"/>
    </row>
    <row r="324">
      <c r="A324" s="22"/>
      <c r="C324" s="65"/>
    </row>
    <row r="325">
      <c r="A325" s="22"/>
      <c r="C325" s="65"/>
    </row>
    <row r="326">
      <c r="A326" s="22"/>
      <c r="C326" s="65"/>
    </row>
    <row r="327">
      <c r="A327" s="22"/>
      <c r="C327" s="65"/>
    </row>
    <row r="328">
      <c r="A328" s="22"/>
      <c r="C328" s="65"/>
    </row>
    <row r="329">
      <c r="A329" s="22"/>
      <c r="C329" s="65"/>
    </row>
    <row r="330">
      <c r="A330" s="22"/>
      <c r="C330" s="65"/>
    </row>
    <row r="331">
      <c r="A331" s="22"/>
      <c r="C331" s="65"/>
    </row>
    <row r="332">
      <c r="A332" s="22"/>
      <c r="C332" s="65"/>
    </row>
    <row r="333">
      <c r="A333" s="22"/>
      <c r="C333" s="65"/>
    </row>
    <row r="334">
      <c r="A334" s="22"/>
      <c r="C334" s="65"/>
    </row>
    <row r="335">
      <c r="A335" s="22"/>
      <c r="C335" s="65"/>
    </row>
    <row r="336">
      <c r="A336" s="22"/>
      <c r="C336" s="65"/>
    </row>
    <row r="337">
      <c r="A337" s="22"/>
      <c r="C337" s="65"/>
    </row>
    <row r="338">
      <c r="A338" s="22"/>
      <c r="C338" s="65"/>
    </row>
    <row r="339">
      <c r="A339" s="22"/>
      <c r="C339" s="65"/>
    </row>
    <row r="340">
      <c r="A340" s="22"/>
      <c r="C340" s="65"/>
    </row>
    <row r="341">
      <c r="A341" s="22"/>
      <c r="C341" s="65"/>
    </row>
    <row r="342">
      <c r="A342" s="22"/>
      <c r="C342" s="65"/>
    </row>
    <row r="343">
      <c r="A343" s="22"/>
      <c r="C343" s="65"/>
    </row>
    <row r="344">
      <c r="A344" s="22"/>
      <c r="C344" s="65"/>
    </row>
    <row r="345">
      <c r="A345" s="22"/>
      <c r="C345" s="65"/>
    </row>
    <row r="346">
      <c r="A346" s="22"/>
      <c r="C346" s="65"/>
    </row>
    <row r="347">
      <c r="A347" s="22"/>
      <c r="C347" s="65"/>
    </row>
    <row r="348">
      <c r="A348" s="22"/>
      <c r="C348" s="65"/>
    </row>
    <row r="349">
      <c r="A349" s="22"/>
      <c r="C349" s="65"/>
    </row>
    <row r="350">
      <c r="A350" s="22"/>
      <c r="C350" s="65"/>
    </row>
    <row r="351">
      <c r="A351" s="22"/>
      <c r="C351" s="65"/>
    </row>
    <row r="352">
      <c r="A352" s="22"/>
      <c r="C352" s="65"/>
    </row>
    <row r="353">
      <c r="A353" s="22"/>
      <c r="C353" s="65"/>
    </row>
    <row r="354">
      <c r="A354" s="22"/>
      <c r="C354" s="65"/>
    </row>
    <row r="355">
      <c r="A355" s="22"/>
      <c r="C355" s="65"/>
    </row>
    <row r="356">
      <c r="A356" s="22"/>
      <c r="C356" s="65"/>
    </row>
    <row r="357">
      <c r="A357" s="22"/>
      <c r="C357" s="65"/>
    </row>
    <row r="358">
      <c r="A358" s="22"/>
      <c r="C358" s="65"/>
    </row>
    <row r="359">
      <c r="A359" s="22"/>
      <c r="C359" s="65"/>
    </row>
    <row r="360">
      <c r="A360" s="22"/>
      <c r="C360" s="65"/>
    </row>
    <row r="361">
      <c r="A361" s="22"/>
      <c r="C361" s="65"/>
    </row>
    <row r="362">
      <c r="A362" s="22"/>
      <c r="C362" s="65"/>
    </row>
    <row r="363">
      <c r="A363" s="22"/>
      <c r="C363" s="65"/>
    </row>
    <row r="364">
      <c r="A364" s="22"/>
      <c r="C364" s="65"/>
    </row>
    <row r="365">
      <c r="A365" s="22"/>
      <c r="C365" s="65"/>
    </row>
    <row r="366">
      <c r="A366" s="22"/>
      <c r="C366" s="65"/>
    </row>
    <row r="367">
      <c r="A367" s="22"/>
      <c r="C367" s="65"/>
    </row>
    <row r="368">
      <c r="A368" s="22"/>
      <c r="C368" s="65"/>
    </row>
    <row r="369">
      <c r="A369" s="22"/>
      <c r="C369" s="65"/>
    </row>
    <row r="370">
      <c r="A370" s="22"/>
      <c r="C370" s="65"/>
    </row>
    <row r="371">
      <c r="A371" s="22"/>
      <c r="C371" s="65"/>
    </row>
    <row r="372">
      <c r="A372" s="22"/>
      <c r="C372" s="65"/>
    </row>
    <row r="373">
      <c r="A373" s="22"/>
      <c r="C373" s="65"/>
    </row>
    <row r="374">
      <c r="A374" s="22"/>
      <c r="C374" s="65"/>
    </row>
    <row r="375">
      <c r="A375" s="22"/>
      <c r="C375" s="65"/>
    </row>
    <row r="376">
      <c r="A376" s="22"/>
      <c r="C376" s="65"/>
    </row>
    <row r="377">
      <c r="A377" s="22"/>
      <c r="C377" s="65"/>
    </row>
    <row r="378">
      <c r="A378" s="22"/>
      <c r="C378" s="65"/>
    </row>
    <row r="379">
      <c r="A379" s="22"/>
      <c r="C379" s="65"/>
    </row>
    <row r="380">
      <c r="A380" s="22"/>
      <c r="C380" s="65"/>
    </row>
    <row r="381">
      <c r="A381" s="22"/>
      <c r="C381" s="65"/>
    </row>
    <row r="382">
      <c r="A382" s="22"/>
      <c r="C382" s="65"/>
    </row>
    <row r="383">
      <c r="A383" s="22"/>
      <c r="C383" s="65"/>
    </row>
    <row r="384">
      <c r="A384" s="22"/>
      <c r="C384" s="65"/>
    </row>
    <row r="385">
      <c r="A385" s="22"/>
      <c r="C385" s="65"/>
    </row>
    <row r="386">
      <c r="A386" s="22"/>
      <c r="C386" s="65"/>
    </row>
    <row r="387">
      <c r="A387" s="22"/>
      <c r="C387" s="65"/>
    </row>
    <row r="388">
      <c r="A388" s="22"/>
      <c r="C388" s="65"/>
    </row>
    <row r="389">
      <c r="A389" s="22"/>
      <c r="C389" s="65"/>
    </row>
    <row r="390">
      <c r="A390" s="22"/>
      <c r="C390" s="65"/>
    </row>
    <row r="391">
      <c r="A391" s="22"/>
      <c r="C391" s="65"/>
    </row>
    <row r="392">
      <c r="A392" s="22"/>
      <c r="C392" s="65"/>
    </row>
    <row r="393">
      <c r="A393" s="22"/>
      <c r="C393" s="65"/>
    </row>
    <row r="394">
      <c r="A394" s="22"/>
      <c r="C394" s="65"/>
    </row>
    <row r="395">
      <c r="A395" s="22"/>
      <c r="C395" s="65"/>
    </row>
    <row r="396">
      <c r="A396" s="22"/>
      <c r="C396" s="65"/>
    </row>
    <row r="397">
      <c r="A397" s="22"/>
      <c r="C397" s="65"/>
    </row>
    <row r="398">
      <c r="A398" s="22"/>
      <c r="C398" s="65"/>
    </row>
    <row r="399">
      <c r="A399" s="22"/>
      <c r="C399" s="65"/>
    </row>
    <row r="400">
      <c r="A400" s="22"/>
      <c r="C400" s="65"/>
    </row>
    <row r="401">
      <c r="A401" s="22"/>
      <c r="C401" s="65"/>
    </row>
    <row r="402">
      <c r="A402" s="22"/>
      <c r="C402" s="65"/>
    </row>
    <row r="403">
      <c r="A403" s="22"/>
      <c r="C403" s="65"/>
    </row>
    <row r="404">
      <c r="A404" s="22"/>
      <c r="C404" s="65"/>
    </row>
    <row r="405">
      <c r="A405" s="22"/>
      <c r="C405" s="65"/>
    </row>
    <row r="406">
      <c r="A406" s="22"/>
      <c r="C406" s="65"/>
    </row>
    <row r="407">
      <c r="A407" s="22"/>
      <c r="C407" s="65"/>
    </row>
    <row r="408">
      <c r="A408" s="22"/>
      <c r="C408" s="65"/>
    </row>
    <row r="409">
      <c r="A409" s="22"/>
      <c r="C409" s="65"/>
    </row>
    <row r="410">
      <c r="A410" s="22"/>
      <c r="C410" s="65"/>
    </row>
    <row r="411">
      <c r="A411" s="22"/>
      <c r="C411" s="65"/>
    </row>
    <row r="412">
      <c r="A412" s="22"/>
      <c r="C412" s="65"/>
    </row>
    <row r="413">
      <c r="A413" s="22"/>
      <c r="C413" s="65"/>
    </row>
    <row r="414">
      <c r="A414" s="22"/>
      <c r="C414" s="65"/>
    </row>
    <row r="415">
      <c r="A415" s="22"/>
      <c r="C415" s="65"/>
    </row>
    <row r="416">
      <c r="A416" s="22"/>
      <c r="C416" s="65"/>
    </row>
    <row r="417">
      <c r="A417" s="22"/>
      <c r="C417" s="65"/>
    </row>
    <row r="418">
      <c r="A418" s="22"/>
      <c r="C418" s="65"/>
    </row>
    <row r="419">
      <c r="A419" s="22"/>
      <c r="C419" s="65"/>
    </row>
    <row r="420">
      <c r="A420" s="22"/>
      <c r="C420" s="65"/>
    </row>
    <row r="421">
      <c r="A421" s="22"/>
      <c r="C421" s="65"/>
    </row>
    <row r="422">
      <c r="A422" s="22"/>
      <c r="C422" s="65"/>
    </row>
    <row r="423">
      <c r="A423" s="22"/>
      <c r="C423" s="65"/>
    </row>
    <row r="424">
      <c r="A424" s="22"/>
      <c r="C424" s="65"/>
    </row>
    <row r="425">
      <c r="A425" s="22"/>
      <c r="C425" s="65"/>
    </row>
    <row r="426">
      <c r="A426" s="22"/>
      <c r="C426" s="65"/>
    </row>
    <row r="427">
      <c r="A427" s="22"/>
      <c r="C427" s="65"/>
    </row>
    <row r="428">
      <c r="A428" s="22"/>
      <c r="C428" s="65"/>
    </row>
    <row r="429">
      <c r="A429" s="22"/>
      <c r="C429" s="65"/>
    </row>
    <row r="430">
      <c r="A430" s="22"/>
      <c r="C430" s="65"/>
    </row>
    <row r="431">
      <c r="A431" s="22"/>
      <c r="C431" s="65"/>
    </row>
    <row r="432">
      <c r="A432" s="22"/>
      <c r="C432" s="65"/>
    </row>
    <row r="433">
      <c r="A433" s="22"/>
      <c r="C433" s="65"/>
    </row>
    <row r="434">
      <c r="A434" s="22"/>
      <c r="C434" s="65"/>
    </row>
    <row r="435">
      <c r="A435" s="22"/>
      <c r="C435" s="65"/>
    </row>
    <row r="436">
      <c r="A436" s="22"/>
      <c r="C436" s="65"/>
    </row>
    <row r="437">
      <c r="A437" s="22"/>
      <c r="C437" s="65"/>
    </row>
    <row r="438">
      <c r="A438" s="22"/>
      <c r="C438" s="65"/>
    </row>
    <row r="439">
      <c r="A439" s="22"/>
      <c r="C439" s="65"/>
    </row>
    <row r="440">
      <c r="A440" s="22"/>
      <c r="C440" s="65"/>
    </row>
    <row r="441">
      <c r="A441" s="22"/>
      <c r="C441" s="65"/>
    </row>
    <row r="442">
      <c r="A442" s="22"/>
      <c r="C442" s="65"/>
    </row>
    <row r="443">
      <c r="A443" s="22"/>
      <c r="C443" s="65"/>
    </row>
    <row r="444">
      <c r="A444" s="22"/>
      <c r="C444" s="65"/>
    </row>
    <row r="445">
      <c r="A445" s="22"/>
      <c r="C445" s="65"/>
    </row>
    <row r="446">
      <c r="A446" s="22"/>
      <c r="C446" s="65"/>
    </row>
    <row r="447">
      <c r="A447" s="22"/>
      <c r="C447" s="65"/>
    </row>
    <row r="448">
      <c r="A448" s="22"/>
      <c r="C448" s="65"/>
    </row>
    <row r="449">
      <c r="A449" s="22"/>
      <c r="C449" s="65"/>
    </row>
    <row r="450">
      <c r="A450" s="22"/>
      <c r="C450" s="65"/>
    </row>
    <row r="451">
      <c r="A451" s="22"/>
      <c r="C451" s="65"/>
    </row>
    <row r="452">
      <c r="A452" s="22"/>
      <c r="C452" s="65"/>
    </row>
    <row r="453">
      <c r="A453" s="22"/>
      <c r="C453" s="65"/>
    </row>
    <row r="454">
      <c r="A454" s="22"/>
      <c r="C454" s="65"/>
    </row>
    <row r="455">
      <c r="A455" s="22"/>
      <c r="C455" s="65"/>
    </row>
    <row r="456">
      <c r="A456" s="22"/>
      <c r="C456" s="65"/>
    </row>
    <row r="457">
      <c r="A457" s="22"/>
      <c r="C457" s="65"/>
    </row>
    <row r="458">
      <c r="A458" s="22"/>
      <c r="C458" s="65"/>
    </row>
    <row r="459">
      <c r="A459" s="22"/>
      <c r="C459" s="65"/>
    </row>
    <row r="460">
      <c r="A460" s="22"/>
      <c r="C460" s="65"/>
    </row>
    <row r="461">
      <c r="A461" s="22"/>
      <c r="C461" s="65"/>
    </row>
    <row r="462">
      <c r="A462" s="22"/>
      <c r="C462" s="65"/>
    </row>
    <row r="463">
      <c r="A463" s="22"/>
      <c r="C463" s="65"/>
    </row>
    <row r="464">
      <c r="A464" s="22"/>
      <c r="C464" s="65"/>
    </row>
    <row r="465">
      <c r="A465" s="22"/>
      <c r="C465" s="65"/>
    </row>
    <row r="466">
      <c r="A466" s="22"/>
      <c r="C466" s="65"/>
    </row>
    <row r="467">
      <c r="A467" s="22"/>
      <c r="C467" s="65"/>
    </row>
    <row r="468">
      <c r="A468" s="22"/>
      <c r="C468" s="65"/>
    </row>
    <row r="469">
      <c r="A469" s="22"/>
      <c r="C469" s="65"/>
    </row>
    <row r="470">
      <c r="A470" s="22"/>
      <c r="C470" s="65"/>
    </row>
    <row r="471">
      <c r="A471" s="22"/>
      <c r="C471" s="65"/>
    </row>
    <row r="472">
      <c r="A472" s="22"/>
      <c r="C472" s="65"/>
    </row>
    <row r="473">
      <c r="A473" s="22"/>
      <c r="C473" s="65"/>
    </row>
    <row r="474">
      <c r="A474" s="22"/>
      <c r="C474" s="65"/>
    </row>
    <row r="475">
      <c r="A475" s="22"/>
      <c r="C475" s="65"/>
    </row>
    <row r="476">
      <c r="A476" s="22"/>
      <c r="C476" s="65"/>
    </row>
    <row r="477">
      <c r="A477" s="22"/>
      <c r="C477" s="65"/>
    </row>
    <row r="478">
      <c r="A478" s="22"/>
      <c r="C478" s="65"/>
    </row>
    <row r="479">
      <c r="A479" s="22"/>
      <c r="C479" s="65"/>
    </row>
    <row r="480">
      <c r="A480" s="22"/>
      <c r="C480" s="65"/>
    </row>
    <row r="481">
      <c r="A481" s="22"/>
      <c r="C481" s="65"/>
    </row>
    <row r="482">
      <c r="A482" s="22"/>
      <c r="C482" s="65"/>
    </row>
    <row r="483">
      <c r="A483" s="22"/>
      <c r="C483" s="65"/>
    </row>
    <row r="484">
      <c r="A484" s="22"/>
      <c r="C484" s="65"/>
    </row>
    <row r="485">
      <c r="A485" s="22"/>
      <c r="C485" s="65"/>
    </row>
    <row r="486">
      <c r="A486" s="22"/>
      <c r="C486" s="65"/>
    </row>
    <row r="487">
      <c r="A487" s="22"/>
      <c r="C487" s="65"/>
    </row>
    <row r="488">
      <c r="A488" s="22"/>
      <c r="C488" s="65"/>
    </row>
    <row r="489">
      <c r="A489" s="22"/>
      <c r="C489" s="65"/>
    </row>
    <row r="490">
      <c r="A490" s="22"/>
      <c r="C490" s="65"/>
    </row>
    <row r="491">
      <c r="A491" s="22"/>
      <c r="C491" s="65"/>
    </row>
    <row r="492">
      <c r="A492" s="22"/>
      <c r="C492" s="65"/>
    </row>
    <row r="493">
      <c r="A493" s="22"/>
      <c r="C493" s="65"/>
    </row>
    <row r="494">
      <c r="A494" s="22"/>
      <c r="C494" s="65"/>
    </row>
    <row r="495">
      <c r="A495" s="22"/>
      <c r="C495" s="65"/>
    </row>
    <row r="496">
      <c r="A496" s="22"/>
      <c r="C496" s="65"/>
    </row>
    <row r="497">
      <c r="A497" s="22"/>
      <c r="C497" s="65"/>
    </row>
    <row r="498">
      <c r="A498" s="22"/>
      <c r="C498" s="65"/>
    </row>
    <row r="499">
      <c r="A499" s="22"/>
      <c r="C499" s="65"/>
    </row>
    <row r="500">
      <c r="A500" s="22"/>
      <c r="C500" s="65"/>
    </row>
    <row r="501">
      <c r="A501" s="22"/>
      <c r="C501" s="65"/>
    </row>
    <row r="502">
      <c r="A502" s="22"/>
      <c r="C502" s="65"/>
    </row>
    <row r="503">
      <c r="A503" s="22"/>
      <c r="C503" s="65"/>
    </row>
    <row r="504">
      <c r="A504" s="22"/>
      <c r="C504" s="65"/>
    </row>
    <row r="505">
      <c r="A505" s="22"/>
      <c r="C505" s="65"/>
    </row>
    <row r="506">
      <c r="A506" s="22"/>
      <c r="C506" s="65"/>
    </row>
    <row r="507">
      <c r="A507" s="22"/>
      <c r="C507" s="65"/>
    </row>
    <row r="508">
      <c r="A508" s="22"/>
      <c r="C508" s="65"/>
    </row>
    <row r="509">
      <c r="A509" s="22"/>
      <c r="C509" s="65"/>
    </row>
    <row r="510">
      <c r="A510" s="22"/>
      <c r="C510" s="65"/>
    </row>
    <row r="511">
      <c r="A511" s="22"/>
      <c r="C511" s="65"/>
    </row>
    <row r="512">
      <c r="A512" s="22"/>
      <c r="C512" s="65"/>
    </row>
    <row r="513">
      <c r="A513" s="22"/>
      <c r="C513" s="65"/>
    </row>
    <row r="514">
      <c r="A514" s="22"/>
      <c r="C514" s="65"/>
    </row>
    <row r="515">
      <c r="A515" s="22"/>
      <c r="C515" s="65"/>
    </row>
    <row r="516">
      <c r="A516" s="22"/>
      <c r="C516" s="65"/>
    </row>
    <row r="517">
      <c r="A517" s="22"/>
      <c r="C517" s="65"/>
    </row>
    <row r="518">
      <c r="A518" s="22"/>
      <c r="C518" s="65"/>
    </row>
    <row r="519">
      <c r="A519" s="22"/>
      <c r="C519" s="65"/>
    </row>
    <row r="520">
      <c r="A520" s="22"/>
      <c r="C520" s="65"/>
    </row>
    <row r="521">
      <c r="A521" s="22"/>
      <c r="C521" s="65"/>
    </row>
    <row r="522">
      <c r="A522" s="22"/>
      <c r="C522" s="65"/>
    </row>
    <row r="523">
      <c r="A523" s="22"/>
      <c r="C523" s="65"/>
    </row>
    <row r="524">
      <c r="A524" s="22"/>
      <c r="C524" s="65"/>
    </row>
    <row r="525">
      <c r="A525" s="22"/>
      <c r="C525" s="65"/>
    </row>
    <row r="526">
      <c r="A526" s="22"/>
      <c r="C526" s="65"/>
    </row>
    <row r="527">
      <c r="A527" s="22"/>
      <c r="C527" s="65"/>
    </row>
    <row r="528">
      <c r="A528" s="22"/>
      <c r="C528" s="65"/>
    </row>
    <row r="529">
      <c r="A529" s="22"/>
      <c r="C529" s="65"/>
    </row>
    <row r="530">
      <c r="A530" s="22"/>
      <c r="C530" s="65"/>
    </row>
    <row r="531">
      <c r="A531" s="22"/>
      <c r="C531" s="65"/>
    </row>
    <row r="532">
      <c r="A532" s="22"/>
      <c r="C532" s="65"/>
    </row>
    <row r="533">
      <c r="A533" s="22"/>
      <c r="C533" s="65"/>
    </row>
    <row r="534">
      <c r="A534" s="22"/>
      <c r="C534" s="65"/>
    </row>
    <row r="535">
      <c r="A535" s="22"/>
      <c r="C535" s="65"/>
    </row>
    <row r="536">
      <c r="A536" s="22"/>
      <c r="C536" s="65"/>
    </row>
    <row r="537">
      <c r="A537" s="22"/>
      <c r="C537" s="65"/>
    </row>
    <row r="538">
      <c r="A538" s="22"/>
      <c r="C538" s="65"/>
    </row>
    <row r="539">
      <c r="A539" s="22"/>
      <c r="C539" s="65"/>
    </row>
    <row r="540">
      <c r="A540" s="22"/>
      <c r="C540" s="65"/>
    </row>
    <row r="541">
      <c r="A541" s="22"/>
      <c r="C541" s="65"/>
    </row>
    <row r="542">
      <c r="A542" s="22"/>
      <c r="C542" s="65"/>
    </row>
    <row r="543">
      <c r="A543" s="22"/>
      <c r="C543" s="65"/>
    </row>
    <row r="544">
      <c r="A544" s="22"/>
      <c r="C544" s="65"/>
    </row>
    <row r="545">
      <c r="A545" s="22"/>
      <c r="C545" s="65"/>
    </row>
    <row r="546">
      <c r="A546" s="22"/>
      <c r="C546" s="65"/>
    </row>
    <row r="547">
      <c r="A547" s="22"/>
      <c r="C547" s="65"/>
    </row>
    <row r="548">
      <c r="A548" s="22"/>
      <c r="C548" s="65"/>
    </row>
    <row r="549">
      <c r="A549" s="22"/>
      <c r="C549" s="65"/>
    </row>
    <row r="550">
      <c r="A550" s="22"/>
      <c r="C550" s="65"/>
    </row>
    <row r="551">
      <c r="A551" s="22"/>
      <c r="C551" s="65"/>
    </row>
    <row r="552">
      <c r="A552" s="22"/>
      <c r="C552" s="65"/>
    </row>
    <row r="553">
      <c r="A553" s="22"/>
      <c r="C553" s="65"/>
    </row>
    <row r="554">
      <c r="A554" s="22"/>
      <c r="C554" s="65"/>
    </row>
    <row r="555">
      <c r="A555" s="22"/>
      <c r="C555" s="65"/>
    </row>
    <row r="556">
      <c r="A556" s="22"/>
      <c r="C556" s="65"/>
    </row>
    <row r="557">
      <c r="A557" s="22"/>
      <c r="C557" s="65"/>
    </row>
    <row r="558">
      <c r="A558" s="22"/>
      <c r="C558" s="65"/>
    </row>
    <row r="559">
      <c r="A559" s="22"/>
      <c r="C559" s="65"/>
    </row>
    <row r="560">
      <c r="A560" s="22"/>
      <c r="C560" s="65"/>
    </row>
    <row r="561">
      <c r="A561" s="22"/>
      <c r="C561" s="65"/>
    </row>
    <row r="562">
      <c r="A562" s="22"/>
      <c r="C562" s="65"/>
    </row>
    <row r="563">
      <c r="A563" s="22"/>
      <c r="C563" s="65"/>
    </row>
    <row r="564">
      <c r="A564" s="22"/>
      <c r="C564" s="65"/>
    </row>
    <row r="565">
      <c r="A565" s="22"/>
      <c r="C565" s="65"/>
    </row>
    <row r="566">
      <c r="A566" s="22"/>
      <c r="C566" s="65"/>
    </row>
    <row r="567">
      <c r="A567" s="22"/>
      <c r="C567" s="65"/>
    </row>
    <row r="568">
      <c r="A568" s="22"/>
      <c r="C568" s="65"/>
    </row>
    <row r="569">
      <c r="A569" s="22"/>
      <c r="C569" s="65"/>
    </row>
    <row r="570">
      <c r="A570" s="22"/>
      <c r="C570" s="65"/>
    </row>
    <row r="571">
      <c r="A571" s="22"/>
      <c r="C571" s="65"/>
    </row>
    <row r="572">
      <c r="A572" s="22"/>
      <c r="C572" s="65"/>
    </row>
    <row r="573">
      <c r="A573" s="22"/>
      <c r="C573" s="65"/>
    </row>
    <row r="574">
      <c r="A574" s="22"/>
      <c r="C574" s="65"/>
    </row>
    <row r="575">
      <c r="A575" s="22"/>
      <c r="C575" s="65"/>
    </row>
    <row r="576">
      <c r="A576" s="22"/>
      <c r="C576" s="65"/>
    </row>
    <row r="577">
      <c r="A577" s="22"/>
      <c r="C577" s="65"/>
    </row>
    <row r="578">
      <c r="A578" s="22"/>
      <c r="C578" s="65"/>
    </row>
    <row r="579">
      <c r="A579" s="22"/>
      <c r="C579" s="65"/>
    </row>
    <row r="580">
      <c r="A580" s="22"/>
      <c r="C580" s="65"/>
    </row>
    <row r="581">
      <c r="A581" s="22"/>
      <c r="C581" s="65"/>
    </row>
    <row r="582">
      <c r="A582" s="22"/>
      <c r="C582" s="65"/>
    </row>
    <row r="583">
      <c r="A583" s="22"/>
      <c r="C583" s="65"/>
    </row>
    <row r="584">
      <c r="A584" s="22"/>
      <c r="C584" s="65"/>
    </row>
    <row r="585">
      <c r="A585" s="22"/>
      <c r="C585" s="65"/>
    </row>
    <row r="586">
      <c r="A586" s="22"/>
      <c r="C586" s="65"/>
    </row>
    <row r="587">
      <c r="A587" s="22"/>
      <c r="C587" s="65"/>
    </row>
    <row r="588">
      <c r="A588" s="22"/>
      <c r="C588" s="65"/>
    </row>
    <row r="589">
      <c r="A589" s="22"/>
      <c r="C589" s="65"/>
    </row>
    <row r="590">
      <c r="A590" s="22"/>
      <c r="C590" s="65"/>
    </row>
    <row r="591">
      <c r="A591" s="22"/>
      <c r="C591" s="65"/>
    </row>
    <row r="592">
      <c r="A592" s="22"/>
      <c r="C592" s="65"/>
    </row>
    <row r="593">
      <c r="A593" s="22"/>
      <c r="C593" s="65"/>
    </row>
    <row r="594">
      <c r="A594" s="22"/>
      <c r="C594" s="65"/>
    </row>
    <row r="595">
      <c r="A595" s="22"/>
      <c r="C595" s="65"/>
    </row>
    <row r="596">
      <c r="A596" s="22"/>
      <c r="C596" s="65"/>
    </row>
    <row r="597">
      <c r="A597" s="22"/>
      <c r="C597" s="65"/>
    </row>
    <row r="598">
      <c r="A598" s="22"/>
      <c r="C598" s="65"/>
    </row>
    <row r="599">
      <c r="A599" s="22"/>
      <c r="C599" s="65"/>
    </row>
    <row r="600">
      <c r="A600" s="22"/>
      <c r="C600" s="65"/>
    </row>
    <row r="601">
      <c r="A601" s="22"/>
      <c r="C601" s="65"/>
    </row>
    <row r="602">
      <c r="A602" s="22"/>
      <c r="C602" s="65"/>
    </row>
    <row r="603">
      <c r="A603" s="22"/>
      <c r="C603" s="65"/>
    </row>
    <row r="604">
      <c r="A604" s="22"/>
      <c r="C604" s="65"/>
    </row>
    <row r="605">
      <c r="A605" s="22"/>
      <c r="C605" s="65"/>
    </row>
    <row r="606">
      <c r="A606" s="22"/>
      <c r="C606" s="65"/>
    </row>
    <row r="607">
      <c r="A607" s="22"/>
      <c r="C607" s="65"/>
    </row>
    <row r="608">
      <c r="A608" s="22"/>
      <c r="C608" s="65"/>
    </row>
    <row r="609">
      <c r="A609" s="22"/>
      <c r="C609" s="65"/>
    </row>
    <row r="610">
      <c r="A610" s="22"/>
      <c r="C610" s="65"/>
    </row>
    <row r="611">
      <c r="A611" s="22"/>
      <c r="C611" s="65"/>
    </row>
    <row r="612">
      <c r="A612" s="22"/>
      <c r="C612" s="65"/>
    </row>
    <row r="613">
      <c r="A613" s="22"/>
      <c r="C613" s="65"/>
    </row>
    <row r="614">
      <c r="A614" s="22"/>
      <c r="C614" s="65"/>
    </row>
    <row r="615">
      <c r="A615" s="22"/>
      <c r="C615" s="65"/>
    </row>
    <row r="616">
      <c r="A616" s="22"/>
      <c r="C616" s="65"/>
    </row>
    <row r="617">
      <c r="A617" s="22"/>
      <c r="C617" s="65"/>
    </row>
    <row r="618">
      <c r="A618" s="22"/>
      <c r="C618" s="65"/>
    </row>
    <row r="619">
      <c r="A619" s="22"/>
      <c r="C619" s="65"/>
    </row>
    <row r="620">
      <c r="A620" s="22"/>
      <c r="C620" s="65"/>
    </row>
    <row r="621">
      <c r="A621" s="22"/>
      <c r="C621" s="65"/>
    </row>
    <row r="622">
      <c r="A622" s="22"/>
      <c r="C622" s="65"/>
    </row>
    <row r="623">
      <c r="A623" s="22"/>
      <c r="C623" s="65"/>
    </row>
    <row r="624">
      <c r="A624" s="22"/>
      <c r="C624" s="65"/>
    </row>
    <row r="625">
      <c r="A625" s="22"/>
      <c r="C625" s="65"/>
    </row>
    <row r="626">
      <c r="A626" s="22"/>
      <c r="C626" s="65"/>
    </row>
    <row r="627">
      <c r="A627" s="22"/>
      <c r="C627" s="65"/>
    </row>
    <row r="628">
      <c r="A628" s="22"/>
      <c r="C628" s="65"/>
    </row>
    <row r="629">
      <c r="A629" s="22"/>
      <c r="C629" s="65"/>
    </row>
    <row r="630">
      <c r="A630" s="22"/>
      <c r="C630" s="65"/>
    </row>
    <row r="631">
      <c r="A631" s="22"/>
      <c r="C631" s="65"/>
    </row>
    <row r="632">
      <c r="A632" s="22"/>
      <c r="C632" s="65"/>
    </row>
    <row r="633">
      <c r="A633" s="22"/>
      <c r="C633" s="65"/>
    </row>
    <row r="634">
      <c r="A634" s="22"/>
      <c r="C634" s="65"/>
    </row>
    <row r="635">
      <c r="A635" s="22"/>
      <c r="C635" s="65"/>
    </row>
    <row r="636">
      <c r="A636" s="22"/>
      <c r="C636" s="65"/>
    </row>
    <row r="637">
      <c r="A637" s="22"/>
      <c r="C637" s="65"/>
    </row>
    <row r="638">
      <c r="A638" s="22"/>
      <c r="C638" s="65"/>
    </row>
    <row r="639">
      <c r="A639" s="22"/>
      <c r="C639" s="65"/>
    </row>
    <row r="640">
      <c r="A640" s="22"/>
      <c r="C640" s="65"/>
    </row>
    <row r="641">
      <c r="A641" s="22"/>
      <c r="C641" s="65"/>
    </row>
    <row r="642">
      <c r="A642" s="22"/>
      <c r="C642" s="65"/>
    </row>
    <row r="643">
      <c r="A643" s="22"/>
      <c r="C643" s="65"/>
    </row>
    <row r="644">
      <c r="A644" s="22"/>
      <c r="C644" s="65"/>
    </row>
    <row r="645">
      <c r="A645" s="22"/>
      <c r="C645" s="65"/>
    </row>
    <row r="646">
      <c r="A646" s="22"/>
      <c r="C646" s="65"/>
    </row>
    <row r="647">
      <c r="A647" s="22"/>
      <c r="C647" s="65"/>
    </row>
    <row r="648">
      <c r="A648" s="22"/>
      <c r="C648" s="65"/>
    </row>
    <row r="649">
      <c r="A649" s="22"/>
      <c r="C649" s="65"/>
    </row>
    <row r="650">
      <c r="A650" s="22"/>
      <c r="C650" s="65"/>
    </row>
    <row r="651">
      <c r="A651" s="22"/>
      <c r="C651" s="65"/>
    </row>
    <row r="652">
      <c r="A652" s="22"/>
      <c r="C652" s="65"/>
    </row>
    <row r="653">
      <c r="A653" s="22"/>
      <c r="C653" s="65"/>
    </row>
    <row r="654">
      <c r="A654" s="22"/>
      <c r="C654" s="65"/>
    </row>
    <row r="655">
      <c r="A655" s="22"/>
      <c r="C655" s="65"/>
    </row>
    <row r="656">
      <c r="A656" s="22"/>
      <c r="C656" s="65"/>
    </row>
    <row r="657">
      <c r="A657" s="22"/>
      <c r="C657" s="65"/>
    </row>
    <row r="658">
      <c r="A658" s="22"/>
      <c r="C658" s="65"/>
    </row>
    <row r="659">
      <c r="A659" s="22"/>
      <c r="C659" s="65"/>
    </row>
    <row r="660">
      <c r="A660" s="22"/>
      <c r="C660" s="65"/>
    </row>
    <row r="661">
      <c r="A661" s="22"/>
      <c r="C661" s="65"/>
    </row>
    <row r="662">
      <c r="A662" s="22"/>
      <c r="C662" s="65"/>
    </row>
    <row r="663">
      <c r="A663" s="22"/>
      <c r="C663" s="65"/>
    </row>
    <row r="664">
      <c r="A664" s="22"/>
      <c r="C664" s="65"/>
    </row>
    <row r="665">
      <c r="A665" s="22"/>
      <c r="C665" s="65"/>
    </row>
    <row r="666">
      <c r="A666" s="22"/>
      <c r="C666" s="65"/>
    </row>
    <row r="667">
      <c r="A667" s="22"/>
      <c r="C667" s="65"/>
    </row>
    <row r="668">
      <c r="A668" s="22"/>
      <c r="C668" s="65"/>
    </row>
    <row r="669">
      <c r="A669" s="22"/>
      <c r="C669" s="65"/>
    </row>
    <row r="670">
      <c r="A670" s="22"/>
      <c r="C670" s="65"/>
    </row>
    <row r="671">
      <c r="A671" s="22"/>
      <c r="C671" s="65"/>
    </row>
    <row r="672">
      <c r="A672" s="22"/>
      <c r="C672" s="65"/>
    </row>
    <row r="673">
      <c r="A673" s="22"/>
      <c r="C673" s="65"/>
    </row>
    <row r="674">
      <c r="A674" s="22"/>
      <c r="C674" s="65"/>
    </row>
    <row r="675">
      <c r="A675" s="22"/>
      <c r="C675" s="65"/>
    </row>
    <row r="676">
      <c r="A676" s="22"/>
      <c r="C676" s="65"/>
    </row>
    <row r="677">
      <c r="A677" s="22"/>
      <c r="C677" s="65"/>
    </row>
    <row r="678">
      <c r="A678" s="22"/>
      <c r="C678" s="65"/>
    </row>
    <row r="679">
      <c r="A679" s="22"/>
      <c r="C679" s="65"/>
    </row>
    <row r="680">
      <c r="A680" s="22"/>
      <c r="C680" s="65"/>
    </row>
    <row r="681">
      <c r="A681" s="22"/>
      <c r="C681" s="65"/>
    </row>
    <row r="682">
      <c r="A682" s="22"/>
      <c r="C682" s="65"/>
    </row>
    <row r="683">
      <c r="A683" s="22"/>
      <c r="C683" s="65"/>
    </row>
    <row r="684">
      <c r="A684" s="22"/>
      <c r="C684" s="65"/>
    </row>
    <row r="685">
      <c r="A685" s="22"/>
      <c r="C685" s="65"/>
    </row>
    <row r="686">
      <c r="A686" s="22"/>
      <c r="C686" s="65"/>
    </row>
    <row r="687">
      <c r="A687" s="22"/>
      <c r="C687" s="65"/>
    </row>
    <row r="688">
      <c r="A688" s="22"/>
      <c r="C688" s="65"/>
    </row>
    <row r="689">
      <c r="A689" s="22"/>
      <c r="C689" s="65"/>
    </row>
    <row r="690">
      <c r="A690" s="22"/>
      <c r="C690" s="65"/>
    </row>
    <row r="691">
      <c r="A691" s="22"/>
      <c r="C691" s="65"/>
    </row>
    <row r="692">
      <c r="A692" s="22"/>
      <c r="C692" s="65"/>
    </row>
    <row r="693">
      <c r="A693" s="22"/>
      <c r="C693" s="65"/>
    </row>
    <row r="694">
      <c r="A694" s="22"/>
      <c r="C694" s="65"/>
    </row>
    <row r="695">
      <c r="A695" s="22"/>
      <c r="C695" s="65"/>
    </row>
    <row r="696">
      <c r="A696" s="22"/>
      <c r="C696" s="65"/>
    </row>
    <row r="697">
      <c r="A697" s="22"/>
      <c r="C697" s="65"/>
    </row>
    <row r="698">
      <c r="A698" s="22"/>
      <c r="C698" s="65"/>
    </row>
    <row r="699">
      <c r="A699" s="22"/>
      <c r="C699" s="65"/>
    </row>
    <row r="700">
      <c r="A700" s="22"/>
      <c r="C700" s="65"/>
    </row>
    <row r="701">
      <c r="A701" s="22"/>
      <c r="C701" s="65"/>
    </row>
    <row r="702">
      <c r="A702" s="22"/>
      <c r="C702" s="65"/>
    </row>
    <row r="703">
      <c r="A703" s="22"/>
      <c r="C703" s="65"/>
    </row>
    <row r="704">
      <c r="A704" s="22"/>
      <c r="C704" s="65"/>
    </row>
    <row r="705">
      <c r="A705" s="22"/>
      <c r="C705" s="65"/>
    </row>
    <row r="706">
      <c r="A706" s="22"/>
      <c r="C706" s="65"/>
    </row>
    <row r="707">
      <c r="A707" s="22"/>
      <c r="C707" s="65"/>
    </row>
    <row r="708">
      <c r="A708" s="22"/>
      <c r="C708" s="65"/>
    </row>
    <row r="709">
      <c r="A709" s="22"/>
      <c r="C709" s="65"/>
    </row>
    <row r="710">
      <c r="A710" s="22"/>
      <c r="C710" s="65"/>
    </row>
    <row r="711">
      <c r="A711" s="22"/>
      <c r="C711" s="65"/>
    </row>
    <row r="712">
      <c r="A712" s="22"/>
      <c r="C712" s="65"/>
    </row>
    <row r="713">
      <c r="A713" s="22"/>
      <c r="C713" s="65"/>
    </row>
    <row r="714">
      <c r="A714" s="22"/>
      <c r="C714" s="65"/>
    </row>
    <row r="715">
      <c r="A715" s="22"/>
      <c r="C715" s="65"/>
    </row>
    <row r="716">
      <c r="A716" s="22"/>
      <c r="C716" s="65"/>
    </row>
    <row r="717">
      <c r="A717" s="22"/>
      <c r="C717" s="65"/>
    </row>
    <row r="718">
      <c r="A718" s="22"/>
      <c r="C718" s="65"/>
    </row>
    <row r="719">
      <c r="A719" s="22"/>
      <c r="C719" s="65"/>
    </row>
    <row r="720">
      <c r="A720" s="22"/>
      <c r="C720" s="65"/>
    </row>
    <row r="721">
      <c r="A721" s="22"/>
      <c r="C721" s="65"/>
    </row>
    <row r="722">
      <c r="A722" s="22"/>
      <c r="C722" s="65"/>
    </row>
    <row r="723">
      <c r="A723" s="22"/>
      <c r="C723" s="65"/>
    </row>
    <row r="724">
      <c r="A724" s="22"/>
      <c r="C724" s="65"/>
    </row>
    <row r="725">
      <c r="A725" s="22"/>
      <c r="C725" s="65"/>
    </row>
    <row r="726">
      <c r="A726" s="22"/>
      <c r="C726" s="65"/>
    </row>
    <row r="727">
      <c r="A727" s="22"/>
      <c r="C727" s="65"/>
    </row>
    <row r="728">
      <c r="A728" s="22"/>
      <c r="C728" s="65"/>
    </row>
    <row r="729">
      <c r="A729" s="22"/>
      <c r="C729" s="65"/>
    </row>
    <row r="730">
      <c r="A730" s="22"/>
      <c r="C730" s="65"/>
    </row>
    <row r="731">
      <c r="A731" s="22"/>
      <c r="C731" s="65"/>
    </row>
    <row r="732">
      <c r="A732" s="22"/>
      <c r="C732" s="65"/>
    </row>
    <row r="733">
      <c r="A733" s="22"/>
      <c r="C733" s="65"/>
    </row>
    <row r="734">
      <c r="A734" s="22"/>
      <c r="C734" s="65"/>
    </row>
    <row r="735">
      <c r="A735" s="22"/>
      <c r="C735" s="65"/>
    </row>
    <row r="736">
      <c r="A736" s="22"/>
      <c r="C736" s="65"/>
    </row>
    <row r="737">
      <c r="A737" s="22"/>
      <c r="C737" s="65"/>
    </row>
    <row r="738">
      <c r="A738" s="22"/>
      <c r="C738" s="65"/>
    </row>
    <row r="739">
      <c r="A739" s="22"/>
      <c r="C739" s="65"/>
    </row>
    <row r="740">
      <c r="A740" s="22"/>
      <c r="C740" s="65"/>
    </row>
    <row r="741">
      <c r="A741" s="22"/>
      <c r="C741" s="65"/>
    </row>
    <row r="742">
      <c r="A742" s="22"/>
      <c r="C742" s="65"/>
    </row>
    <row r="743">
      <c r="A743" s="22"/>
      <c r="C743" s="65"/>
    </row>
    <row r="744">
      <c r="A744" s="22"/>
      <c r="C744" s="65"/>
    </row>
    <row r="745">
      <c r="A745" s="22"/>
      <c r="C745" s="65"/>
    </row>
    <row r="746">
      <c r="A746" s="22"/>
      <c r="C746" s="65"/>
    </row>
    <row r="747">
      <c r="A747" s="22"/>
      <c r="C747" s="65"/>
    </row>
    <row r="748">
      <c r="A748" s="22"/>
      <c r="C748" s="65"/>
    </row>
    <row r="749">
      <c r="A749" s="22"/>
      <c r="C749" s="65"/>
    </row>
    <row r="750">
      <c r="A750" s="22"/>
      <c r="C750" s="65"/>
    </row>
    <row r="751">
      <c r="A751" s="22"/>
      <c r="C751" s="65"/>
    </row>
    <row r="752">
      <c r="A752" s="22"/>
      <c r="C752" s="65"/>
    </row>
    <row r="753">
      <c r="A753" s="22"/>
      <c r="C753" s="65"/>
    </row>
    <row r="754">
      <c r="A754" s="22"/>
      <c r="C754" s="65"/>
    </row>
    <row r="755">
      <c r="A755" s="22"/>
      <c r="C755" s="65"/>
    </row>
    <row r="756">
      <c r="A756" s="22"/>
      <c r="C756" s="65"/>
    </row>
    <row r="757">
      <c r="A757" s="22"/>
      <c r="C757" s="65"/>
    </row>
    <row r="758">
      <c r="A758" s="22"/>
      <c r="C758" s="65"/>
    </row>
    <row r="759">
      <c r="A759" s="22"/>
      <c r="C759" s="65"/>
    </row>
    <row r="760">
      <c r="A760" s="22"/>
      <c r="C760" s="65"/>
    </row>
    <row r="761">
      <c r="A761" s="22"/>
      <c r="C761" s="65"/>
    </row>
    <row r="762">
      <c r="A762" s="22"/>
      <c r="C762" s="65"/>
    </row>
    <row r="763">
      <c r="A763" s="22"/>
      <c r="C763" s="65"/>
    </row>
    <row r="764">
      <c r="A764" s="22"/>
      <c r="C764" s="65"/>
    </row>
    <row r="765">
      <c r="A765" s="22"/>
      <c r="C765" s="65"/>
    </row>
    <row r="766">
      <c r="A766" s="22"/>
      <c r="C766" s="65"/>
    </row>
    <row r="767">
      <c r="A767" s="22"/>
      <c r="C767" s="65"/>
    </row>
    <row r="768">
      <c r="A768" s="22"/>
      <c r="C768" s="65"/>
    </row>
    <row r="769">
      <c r="A769" s="22"/>
      <c r="C769" s="65"/>
    </row>
    <row r="770">
      <c r="A770" s="22"/>
      <c r="C770" s="65"/>
    </row>
    <row r="771">
      <c r="A771" s="22"/>
      <c r="C771" s="65"/>
    </row>
    <row r="772">
      <c r="A772" s="22"/>
      <c r="C772" s="65"/>
    </row>
    <row r="773">
      <c r="A773" s="22"/>
      <c r="C773" s="65"/>
    </row>
    <row r="774">
      <c r="A774" s="22"/>
      <c r="C774" s="65"/>
    </row>
    <row r="775">
      <c r="A775" s="22"/>
      <c r="C775" s="65"/>
    </row>
    <row r="776">
      <c r="A776" s="22"/>
      <c r="C776" s="65"/>
    </row>
    <row r="777">
      <c r="A777" s="22"/>
      <c r="C777" s="65"/>
    </row>
    <row r="778">
      <c r="A778" s="22"/>
      <c r="C778" s="65"/>
    </row>
    <row r="779">
      <c r="A779" s="22"/>
      <c r="C779" s="65"/>
    </row>
    <row r="780">
      <c r="A780" s="22"/>
      <c r="C780" s="65"/>
    </row>
    <row r="781">
      <c r="A781" s="22"/>
      <c r="C781" s="65"/>
    </row>
    <row r="782">
      <c r="A782" s="22"/>
      <c r="C782" s="65"/>
    </row>
    <row r="783">
      <c r="A783" s="22"/>
      <c r="C783" s="65"/>
    </row>
    <row r="784">
      <c r="A784" s="22"/>
      <c r="C784" s="65"/>
    </row>
    <row r="785">
      <c r="A785" s="22"/>
      <c r="C785" s="65"/>
    </row>
    <row r="786">
      <c r="A786" s="22"/>
      <c r="C786" s="65"/>
    </row>
    <row r="787">
      <c r="A787" s="22"/>
      <c r="C787" s="65"/>
    </row>
    <row r="788">
      <c r="A788" s="22"/>
      <c r="C788" s="65"/>
    </row>
    <row r="789">
      <c r="A789" s="22"/>
      <c r="C789" s="65"/>
    </row>
    <row r="790">
      <c r="A790" s="22"/>
      <c r="C790" s="65"/>
    </row>
    <row r="791">
      <c r="A791" s="22"/>
      <c r="C791" s="65"/>
    </row>
    <row r="792">
      <c r="A792" s="22"/>
      <c r="C792" s="65"/>
    </row>
    <row r="793">
      <c r="A793" s="22"/>
      <c r="C793" s="65"/>
    </row>
    <row r="794">
      <c r="A794" s="22"/>
      <c r="C794" s="65"/>
    </row>
    <row r="795">
      <c r="A795" s="22"/>
      <c r="C795" s="65"/>
    </row>
    <row r="796">
      <c r="A796" s="22"/>
      <c r="C796" s="65"/>
    </row>
    <row r="797">
      <c r="A797" s="22"/>
      <c r="C797" s="65"/>
    </row>
    <row r="798">
      <c r="A798" s="22"/>
      <c r="C798" s="65"/>
    </row>
    <row r="799">
      <c r="A799" s="22"/>
      <c r="C799" s="65"/>
    </row>
    <row r="800">
      <c r="A800" s="22"/>
      <c r="C800" s="65"/>
    </row>
    <row r="801">
      <c r="A801" s="22"/>
      <c r="C801" s="65"/>
    </row>
    <row r="802">
      <c r="A802" s="22"/>
      <c r="C802" s="65"/>
    </row>
    <row r="803">
      <c r="A803" s="22"/>
      <c r="C803" s="65"/>
    </row>
    <row r="804">
      <c r="A804" s="22"/>
      <c r="C804" s="65"/>
    </row>
    <row r="805">
      <c r="A805" s="22"/>
      <c r="C805" s="65"/>
    </row>
    <row r="806">
      <c r="A806" s="22"/>
      <c r="C806" s="65"/>
    </row>
    <row r="807">
      <c r="A807" s="22"/>
      <c r="C807" s="65"/>
    </row>
    <row r="808">
      <c r="A808" s="22"/>
      <c r="C808" s="65"/>
    </row>
    <row r="809">
      <c r="A809" s="22"/>
      <c r="C809" s="65"/>
    </row>
    <row r="810">
      <c r="A810" s="22"/>
      <c r="C810" s="65"/>
    </row>
    <row r="811">
      <c r="A811" s="22"/>
      <c r="C811" s="65"/>
    </row>
    <row r="812">
      <c r="A812" s="22"/>
      <c r="C812" s="65"/>
    </row>
    <row r="813">
      <c r="A813" s="22"/>
      <c r="C813" s="65"/>
    </row>
    <row r="814">
      <c r="A814" s="22"/>
      <c r="C814" s="65"/>
    </row>
    <row r="815">
      <c r="A815" s="22"/>
      <c r="C815" s="65"/>
    </row>
    <row r="816">
      <c r="A816" s="22"/>
      <c r="C816" s="65"/>
    </row>
    <row r="817">
      <c r="A817" s="22"/>
      <c r="C817" s="65"/>
    </row>
    <row r="818">
      <c r="A818" s="22"/>
      <c r="C818" s="65"/>
    </row>
    <row r="819">
      <c r="A819" s="22"/>
      <c r="C819" s="65"/>
    </row>
    <row r="820">
      <c r="A820" s="22"/>
      <c r="C820" s="65"/>
    </row>
    <row r="821">
      <c r="A821" s="22"/>
      <c r="C821" s="65"/>
    </row>
    <row r="822">
      <c r="A822" s="22"/>
      <c r="C822" s="65"/>
    </row>
    <row r="823">
      <c r="A823" s="22"/>
      <c r="C823" s="65"/>
    </row>
    <row r="824">
      <c r="A824" s="22"/>
      <c r="C824" s="65"/>
    </row>
    <row r="825">
      <c r="A825" s="22"/>
      <c r="C825" s="65"/>
    </row>
    <row r="826">
      <c r="A826" s="22"/>
      <c r="C826" s="65"/>
    </row>
    <row r="827">
      <c r="A827" s="22"/>
      <c r="C827" s="65"/>
    </row>
    <row r="828">
      <c r="A828" s="22"/>
      <c r="C828" s="65"/>
    </row>
    <row r="829">
      <c r="A829" s="22"/>
      <c r="C829" s="65"/>
    </row>
    <row r="830">
      <c r="A830" s="22"/>
      <c r="C830" s="65"/>
    </row>
    <row r="831">
      <c r="A831" s="22"/>
      <c r="C831" s="65"/>
    </row>
    <row r="832">
      <c r="A832" s="22"/>
      <c r="C832" s="65"/>
    </row>
    <row r="833">
      <c r="A833" s="22"/>
      <c r="C833" s="65"/>
    </row>
    <row r="834">
      <c r="A834" s="22"/>
      <c r="C834" s="65"/>
    </row>
    <row r="835">
      <c r="A835" s="22"/>
      <c r="C835" s="65"/>
    </row>
    <row r="836">
      <c r="A836" s="22"/>
      <c r="C836" s="65"/>
    </row>
    <row r="837">
      <c r="A837" s="22"/>
      <c r="C837" s="65"/>
    </row>
    <row r="838">
      <c r="A838" s="22"/>
      <c r="C838" s="65"/>
    </row>
    <row r="839">
      <c r="A839" s="22"/>
      <c r="C839" s="65"/>
    </row>
    <row r="840">
      <c r="A840" s="22"/>
      <c r="C840" s="65"/>
    </row>
    <row r="841">
      <c r="A841" s="22"/>
      <c r="C841" s="65"/>
    </row>
    <row r="842">
      <c r="A842" s="22"/>
      <c r="C842" s="65"/>
    </row>
    <row r="843">
      <c r="A843" s="22"/>
      <c r="C843" s="65"/>
    </row>
    <row r="844">
      <c r="A844" s="22"/>
      <c r="C844" s="65"/>
    </row>
    <row r="845">
      <c r="A845" s="22"/>
      <c r="C845" s="65"/>
    </row>
    <row r="846">
      <c r="A846" s="22"/>
      <c r="C846" s="65"/>
    </row>
    <row r="847">
      <c r="A847" s="22"/>
      <c r="C847" s="65"/>
    </row>
    <row r="848">
      <c r="A848" s="22"/>
      <c r="C848" s="65"/>
    </row>
    <row r="849">
      <c r="A849" s="22"/>
      <c r="C849" s="65"/>
    </row>
    <row r="850">
      <c r="A850" s="22"/>
      <c r="C850" s="65"/>
    </row>
    <row r="851">
      <c r="A851" s="22"/>
      <c r="C851" s="65"/>
    </row>
    <row r="852">
      <c r="A852" s="22"/>
      <c r="C852" s="65"/>
    </row>
    <row r="853">
      <c r="A853" s="22"/>
      <c r="C853" s="65"/>
    </row>
    <row r="854">
      <c r="A854" s="22"/>
      <c r="C854" s="65"/>
    </row>
    <row r="855">
      <c r="A855" s="22"/>
      <c r="C855" s="65"/>
    </row>
    <row r="856">
      <c r="A856" s="22"/>
      <c r="C856" s="65"/>
    </row>
    <row r="857">
      <c r="A857" s="22"/>
      <c r="C857" s="65"/>
    </row>
    <row r="858">
      <c r="A858" s="22"/>
      <c r="C858" s="65"/>
    </row>
    <row r="859">
      <c r="A859" s="22"/>
      <c r="C859" s="65"/>
    </row>
    <row r="860">
      <c r="A860" s="22"/>
      <c r="C860" s="65"/>
    </row>
    <row r="861">
      <c r="A861" s="22"/>
      <c r="C861" s="65"/>
    </row>
    <row r="862">
      <c r="A862" s="22"/>
      <c r="C862" s="65"/>
    </row>
    <row r="863">
      <c r="A863" s="22"/>
      <c r="C863" s="65"/>
    </row>
    <row r="864">
      <c r="A864" s="22"/>
      <c r="C864" s="65"/>
    </row>
    <row r="865">
      <c r="A865" s="22"/>
      <c r="C865" s="65"/>
    </row>
    <row r="866">
      <c r="A866" s="22"/>
      <c r="C866" s="65"/>
    </row>
    <row r="867">
      <c r="A867" s="22"/>
      <c r="C867" s="65"/>
    </row>
    <row r="868">
      <c r="A868" s="22"/>
      <c r="C868" s="65"/>
    </row>
    <row r="869">
      <c r="A869" s="22"/>
      <c r="C869" s="65"/>
    </row>
    <row r="870">
      <c r="A870" s="22"/>
      <c r="C870" s="65"/>
    </row>
    <row r="871">
      <c r="A871" s="22"/>
      <c r="C871" s="65"/>
    </row>
    <row r="872">
      <c r="A872" s="22"/>
      <c r="C872" s="65"/>
    </row>
    <row r="873">
      <c r="A873" s="22"/>
      <c r="C873" s="65"/>
    </row>
    <row r="874">
      <c r="A874" s="22"/>
      <c r="C874" s="65"/>
    </row>
    <row r="875">
      <c r="A875" s="22"/>
      <c r="C875" s="65"/>
    </row>
    <row r="876">
      <c r="A876" s="22"/>
      <c r="C876" s="65"/>
    </row>
    <row r="877">
      <c r="A877" s="22"/>
      <c r="C877" s="65"/>
    </row>
    <row r="878">
      <c r="A878" s="22"/>
      <c r="C878" s="65"/>
    </row>
    <row r="879">
      <c r="A879" s="22"/>
      <c r="C879" s="65"/>
    </row>
    <row r="880">
      <c r="A880" s="22"/>
      <c r="C880" s="65"/>
    </row>
    <row r="881">
      <c r="A881" s="22"/>
      <c r="C881" s="65"/>
    </row>
    <row r="882">
      <c r="A882" s="22"/>
      <c r="C882" s="65"/>
    </row>
    <row r="883">
      <c r="A883" s="22"/>
      <c r="C883" s="65"/>
    </row>
    <row r="884">
      <c r="A884" s="22"/>
      <c r="C884" s="65"/>
    </row>
    <row r="885">
      <c r="A885" s="22"/>
      <c r="C885" s="65"/>
    </row>
    <row r="886">
      <c r="A886" s="22"/>
      <c r="C886" s="65"/>
    </row>
    <row r="887">
      <c r="A887" s="22"/>
      <c r="C887" s="65"/>
    </row>
    <row r="888">
      <c r="A888" s="22"/>
      <c r="C888" s="65"/>
    </row>
    <row r="889">
      <c r="A889" s="22"/>
      <c r="C889" s="65"/>
    </row>
    <row r="890">
      <c r="A890" s="22"/>
      <c r="C890" s="65"/>
    </row>
    <row r="891">
      <c r="A891" s="22"/>
      <c r="C891" s="65"/>
    </row>
    <row r="892">
      <c r="A892" s="22"/>
      <c r="C892" s="65"/>
    </row>
    <row r="893">
      <c r="A893" s="22"/>
      <c r="C893" s="65"/>
    </row>
    <row r="894">
      <c r="A894" s="22"/>
      <c r="C894" s="65"/>
    </row>
    <row r="895">
      <c r="A895" s="22"/>
      <c r="C895" s="65"/>
    </row>
    <row r="896">
      <c r="A896" s="22"/>
      <c r="C896" s="65"/>
    </row>
    <row r="897">
      <c r="A897" s="22"/>
      <c r="C897" s="65"/>
    </row>
    <row r="898">
      <c r="A898" s="22"/>
      <c r="C898" s="65"/>
    </row>
    <row r="899">
      <c r="A899" s="22"/>
      <c r="C899" s="65"/>
    </row>
    <row r="900">
      <c r="A900" s="22"/>
      <c r="C900" s="65"/>
    </row>
    <row r="901">
      <c r="A901" s="22"/>
      <c r="C901" s="65"/>
    </row>
    <row r="902">
      <c r="A902" s="22"/>
      <c r="C902" s="65"/>
    </row>
    <row r="903">
      <c r="A903" s="22"/>
      <c r="C903" s="65"/>
    </row>
    <row r="904">
      <c r="A904" s="22"/>
      <c r="C904" s="65"/>
    </row>
    <row r="905">
      <c r="A905" s="22"/>
      <c r="C905" s="65"/>
    </row>
    <row r="906">
      <c r="A906" s="22"/>
      <c r="C906" s="65"/>
    </row>
    <row r="907">
      <c r="A907" s="22"/>
      <c r="C907" s="65"/>
    </row>
    <row r="908">
      <c r="A908" s="22"/>
      <c r="C908" s="65"/>
    </row>
    <row r="909">
      <c r="A909" s="22"/>
      <c r="C909" s="65"/>
    </row>
    <row r="910">
      <c r="A910" s="22"/>
      <c r="C910" s="65"/>
    </row>
    <row r="911">
      <c r="A911" s="22"/>
      <c r="C911" s="65"/>
    </row>
    <row r="912">
      <c r="A912" s="22"/>
      <c r="C912" s="65"/>
    </row>
    <row r="913">
      <c r="A913" s="22"/>
      <c r="C913" s="65"/>
    </row>
    <row r="914">
      <c r="A914" s="22"/>
      <c r="C914" s="65"/>
    </row>
    <row r="915">
      <c r="A915" s="22"/>
      <c r="C915" s="65"/>
    </row>
    <row r="916">
      <c r="A916" s="22"/>
      <c r="C916" s="65"/>
    </row>
    <row r="917">
      <c r="A917" s="22"/>
      <c r="C917" s="65"/>
    </row>
    <row r="918">
      <c r="A918" s="22"/>
      <c r="C918" s="65"/>
    </row>
    <row r="919">
      <c r="A919" s="22"/>
      <c r="C919" s="65"/>
    </row>
    <row r="920">
      <c r="A920" s="22"/>
      <c r="C920" s="65"/>
    </row>
    <row r="921">
      <c r="A921" s="22"/>
      <c r="C921" s="65"/>
    </row>
    <row r="922">
      <c r="A922" s="22"/>
      <c r="C922" s="65"/>
    </row>
    <row r="923">
      <c r="A923" s="22"/>
      <c r="C923" s="65"/>
    </row>
    <row r="924">
      <c r="A924" s="22"/>
      <c r="C924" s="65"/>
    </row>
    <row r="925">
      <c r="A925" s="22"/>
      <c r="C925" s="65"/>
    </row>
    <row r="926">
      <c r="A926" s="22"/>
      <c r="C926" s="65"/>
    </row>
    <row r="927">
      <c r="A927" s="22"/>
      <c r="C927" s="65"/>
    </row>
    <row r="928">
      <c r="A928" s="22"/>
      <c r="C928" s="65"/>
    </row>
    <row r="929">
      <c r="A929" s="22"/>
      <c r="C929" s="65"/>
    </row>
    <row r="930">
      <c r="A930" s="22"/>
      <c r="C930" s="65"/>
    </row>
    <row r="931">
      <c r="A931" s="22"/>
      <c r="C931" s="65"/>
    </row>
    <row r="932">
      <c r="A932" s="22"/>
      <c r="C932" s="65"/>
    </row>
    <row r="933">
      <c r="A933" s="22"/>
      <c r="C933" s="65"/>
    </row>
    <row r="934">
      <c r="A934" s="22"/>
      <c r="C934" s="65"/>
    </row>
    <row r="935">
      <c r="A935" s="22"/>
      <c r="C935" s="65"/>
    </row>
    <row r="936">
      <c r="A936" s="22"/>
      <c r="C936" s="65"/>
    </row>
    <row r="937">
      <c r="A937" s="22"/>
      <c r="C937" s="65"/>
    </row>
    <row r="938">
      <c r="A938" s="22"/>
      <c r="C938" s="65"/>
    </row>
    <row r="939">
      <c r="A939" s="22"/>
      <c r="C939" s="65"/>
    </row>
    <row r="940">
      <c r="A940" s="22"/>
      <c r="C940" s="65"/>
    </row>
    <row r="941">
      <c r="A941" s="22"/>
      <c r="C941" s="65"/>
    </row>
    <row r="942">
      <c r="A942" s="22"/>
      <c r="C942" s="65"/>
    </row>
    <row r="943">
      <c r="A943" s="22"/>
      <c r="C943" s="65"/>
    </row>
    <row r="944">
      <c r="A944" s="22"/>
      <c r="C944" s="65"/>
    </row>
    <row r="945">
      <c r="A945" s="22"/>
      <c r="C945" s="65"/>
    </row>
    <row r="946">
      <c r="A946" s="22"/>
      <c r="C946" s="65"/>
    </row>
    <row r="947">
      <c r="A947" s="22"/>
      <c r="C947" s="65"/>
    </row>
    <row r="948">
      <c r="A948" s="22"/>
      <c r="C948" s="65"/>
    </row>
    <row r="949">
      <c r="A949" s="22"/>
      <c r="C949" s="65"/>
    </row>
    <row r="950">
      <c r="A950" s="22"/>
      <c r="C950" s="65"/>
    </row>
    <row r="951">
      <c r="A951" s="22"/>
      <c r="C951" s="65"/>
    </row>
    <row r="952">
      <c r="A952" s="22"/>
      <c r="C952" s="65"/>
    </row>
    <row r="953">
      <c r="A953" s="22"/>
      <c r="C953" s="65"/>
    </row>
    <row r="954">
      <c r="A954" s="22"/>
      <c r="C954" s="65"/>
    </row>
    <row r="955">
      <c r="A955" s="22"/>
      <c r="C955" s="65"/>
    </row>
    <row r="956">
      <c r="A956" s="22"/>
      <c r="C956" s="65"/>
    </row>
    <row r="957">
      <c r="A957" s="22"/>
      <c r="C957" s="65"/>
    </row>
    <row r="958">
      <c r="A958" s="22"/>
      <c r="C958" s="65"/>
    </row>
    <row r="959">
      <c r="A959" s="22"/>
      <c r="C959" s="65"/>
    </row>
    <row r="960">
      <c r="A960" s="22"/>
      <c r="C960" s="65"/>
    </row>
    <row r="961">
      <c r="A961" s="22"/>
      <c r="C961" s="65"/>
    </row>
    <row r="962">
      <c r="A962" s="22"/>
      <c r="C962" s="65"/>
    </row>
    <row r="963">
      <c r="A963" s="22"/>
      <c r="C963" s="65"/>
    </row>
    <row r="964">
      <c r="A964" s="22"/>
      <c r="C964" s="65"/>
    </row>
    <row r="965">
      <c r="A965" s="22"/>
      <c r="C965" s="65"/>
    </row>
    <row r="966">
      <c r="A966" s="22"/>
      <c r="C966" s="65"/>
    </row>
    <row r="967">
      <c r="A967" s="22"/>
      <c r="C967" s="65"/>
    </row>
    <row r="968">
      <c r="A968" s="22"/>
      <c r="C968" s="65"/>
    </row>
    <row r="969">
      <c r="A969" s="22"/>
      <c r="C969" s="65"/>
    </row>
    <row r="970">
      <c r="A970" s="22"/>
      <c r="C970" s="65"/>
    </row>
    <row r="971">
      <c r="A971" s="22"/>
      <c r="C971" s="65"/>
    </row>
    <row r="972">
      <c r="A972" s="22"/>
      <c r="C972" s="65"/>
    </row>
    <row r="973">
      <c r="A973" s="22"/>
      <c r="C973" s="65"/>
    </row>
    <row r="974">
      <c r="A974" s="22"/>
      <c r="C974" s="65"/>
    </row>
    <row r="975">
      <c r="A975" s="22"/>
      <c r="C975" s="65"/>
    </row>
    <row r="976">
      <c r="A976" s="22"/>
      <c r="C976" s="65"/>
    </row>
    <row r="977">
      <c r="A977" s="22"/>
      <c r="C977" s="65"/>
    </row>
    <row r="978">
      <c r="A978" s="22"/>
      <c r="C978" s="65"/>
    </row>
    <row r="979">
      <c r="A979" s="22"/>
      <c r="C979" s="65"/>
    </row>
    <row r="980">
      <c r="A980" s="22"/>
      <c r="C980" s="65"/>
    </row>
    <row r="981">
      <c r="A981" s="22"/>
      <c r="C981" s="65"/>
    </row>
    <row r="982">
      <c r="A982" s="22"/>
      <c r="C982" s="65"/>
    </row>
    <row r="983">
      <c r="A983" s="22"/>
      <c r="C983" s="65"/>
    </row>
    <row r="984">
      <c r="A984" s="22"/>
      <c r="C984" s="65"/>
    </row>
    <row r="985">
      <c r="A985" s="22"/>
      <c r="C985" s="65"/>
    </row>
    <row r="986">
      <c r="A986" s="22"/>
      <c r="C986" s="65"/>
    </row>
    <row r="987">
      <c r="A987" s="22"/>
      <c r="C987" s="65"/>
    </row>
    <row r="988">
      <c r="A988" s="22"/>
      <c r="C988" s="65"/>
    </row>
    <row r="989">
      <c r="A989" s="22"/>
      <c r="C989" s="65"/>
    </row>
    <row r="990">
      <c r="A990" s="22"/>
      <c r="C990" s="65"/>
    </row>
    <row r="991">
      <c r="A991" s="22"/>
      <c r="C991" s="65"/>
    </row>
    <row r="992">
      <c r="A992" s="22"/>
      <c r="C992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4" width="16.63"/>
    <col customWidth="1" min="5" max="5" width="26.0"/>
  </cols>
  <sheetData>
    <row r="1">
      <c r="A1" s="58" t="s">
        <v>35</v>
      </c>
      <c r="B1" s="58" t="s">
        <v>45</v>
      </c>
      <c r="C1" s="58" t="s">
        <v>46</v>
      </c>
      <c r="D1" s="58" t="s">
        <v>47</v>
      </c>
      <c r="E1" s="58" t="s">
        <v>48</v>
      </c>
    </row>
    <row r="2">
      <c r="A2" s="2" t="s">
        <v>17</v>
      </c>
      <c r="B2" s="20">
        <v>525.0</v>
      </c>
      <c r="C2" s="66">
        <v>3.25</v>
      </c>
      <c r="D2" s="66">
        <v>11.5</v>
      </c>
      <c r="E2" s="66">
        <v>27.5</v>
      </c>
    </row>
    <row r="3">
      <c r="A3" s="2" t="s">
        <v>18</v>
      </c>
      <c r="B3" s="20">
        <v>875.0</v>
      </c>
      <c r="C3" s="66">
        <v>4.25</v>
      </c>
      <c r="D3" s="20">
        <v>17.5</v>
      </c>
      <c r="E3" s="66">
        <v>37.5</v>
      </c>
    </row>
    <row r="4">
      <c r="A4" s="2" t="s">
        <v>19</v>
      </c>
      <c r="B4" s="20">
        <v>600.0</v>
      </c>
      <c r="C4" s="66">
        <v>2.5</v>
      </c>
      <c r="D4" s="20">
        <v>9.5</v>
      </c>
      <c r="E4" s="66">
        <v>40.0</v>
      </c>
    </row>
    <row r="5">
      <c r="A5" s="2" t="s">
        <v>20</v>
      </c>
      <c r="B5" s="20">
        <v>425.0</v>
      </c>
      <c r="C5" s="66">
        <v>4.0</v>
      </c>
      <c r="D5" s="20">
        <v>14.0</v>
      </c>
      <c r="E5" s="66">
        <v>32.5</v>
      </c>
    </row>
    <row r="6">
      <c r="A6" s="2" t="s">
        <v>21</v>
      </c>
      <c r="B6" s="20">
        <v>0.0</v>
      </c>
      <c r="C6" s="66">
        <v>3.0</v>
      </c>
      <c r="D6" s="20">
        <v>15.0</v>
      </c>
      <c r="E6" s="66">
        <v>0.0</v>
      </c>
    </row>
    <row r="7">
      <c r="A7" s="54"/>
      <c r="B7" s="54"/>
      <c r="C7" s="55"/>
      <c r="D7" s="55"/>
      <c r="E7" s="56"/>
    </row>
  </sheetData>
  <drawing r:id="rId1"/>
</worksheet>
</file>